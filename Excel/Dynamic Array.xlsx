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Excel/"/>
    </mc:Choice>
  </mc:AlternateContent>
  <xr:revisionPtr revIDLastSave="155" documentId="11_BE42AEF1AF54B90F9CB98D8E268E2FC05040A340" xr6:coauthVersionLast="47" xr6:coauthVersionMax="47" xr10:uidLastSave="{C7E09A3E-F830-474D-A106-56F37C96903E}"/>
  <bookViews>
    <workbookView xWindow="-108" yWindow="-108" windowWidth="23256" windowHeight="12456" activeTab="1" xr2:uid="{00000000-000D-0000-FFFF-FFFF00000000}"/>
  </bookViews>
  <sheets>
    <sheet name="Sort" sheetId="2" r:id="rId1"/>
    <sheet name="Sheet1" sheetId="4" r:id="rId2"/>
    <sheet name="Unique" sheetId="3" r:id="rId3"/>
    <sheet name="WildCard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 a="1"/>
  <c r="D2" i="4" s="1"/>
  <c r="F2" i="4" a="1"/>
  <c r="F2" i="4" s="1"/>
  <c r="B2" i="4" a="1"/>
  <c r="B2" i="4" s="1"/>
  <c r="H19" i="2" a="1"/>
  <c r="H19" i="2" s="1"/>
  <c r="E19" i="2" a="1"/>
  <c r="E19" i="2" s="1"/>
  <c r="G2" i="1"/>
  <c r="E2" i="3" a="1"/>
  <c r="E2" i="3" s="1"/>
  <c r="F2" i="2" a="1"/>
  <c r="F2" i="2" s="1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G2" i="2" l="1" a="1"/>
  <c r="G2" i="2" s="1"/>
  <c r="R3" i="2" a="1"/>
  <c r="R3" i="2" s="1"/>
  <c r="M3" i="2" a="1"/>
  <c r="M3" i="2" s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<sst xmlns="http://schemas.openxmlformats.org/spreadsheetml/2006/main" count="71" uniqueCount="57">
  <si>
    <t>CustomerName</t>
  </si>
  <si>
    <t>Revenue</t>
  </si>
  <si>
    <t>Communication Connections</t>
  </si>
  <si>
    <t>Aaron Fitz Electrical</t>
  </si>
  <si>
    <t>Astor Suite</t>
  </si>
  <si>
    <t>Blue Yonder Airlines</t>
  </si>
  <si>
    <t>Central Communications LTD</t>
  </si>
  <si>
    <t>Computerized Phone Systems</t>
  </si>
  <si>
    <t>Country View Estates</t>
  </si>
  <si>
    <t>Lawrence Telemarketing</t>
  </si>
  <si>
    <t>Leisure &amp; Travel Consultants</t>
  </si>
  <si>
    <t>Magnificent Office Images</t>
  </si>
  <si>
    <t>Mahler State University</t>
  </si>
  <si>
    <t>Metropolitan Fiber Systems</t>
  </si>
  <si>
    <t>Midland Construction</t>
  </si>
  <si>
    <t>Office Design Systems Ltd</t>
  </si>
  <si>
    <t>Place One Suites</t>
  </si>
  <si>
    <t>Vancouver Resort Hotels</t>
  </si>
  <si>
    <t>Vision Inc.</t>
  </si>
  <si>
    <t>West Central Distributors</t>
  </si>
  <si>
    <t>*LTD*</t>
  </si>
  <si>
    <t>*f?tz*</t>
  </si>
  <si>
    <t>Student</t>
  </si>
  <si>
    <t>Pre-Test</t>
  </si>
  <si>
    <t>Post-Test</t>
  </si>
  <si>
    <t>Change</t>
  </si>
  <si>
    <t>Andy</t>
  </si>
  <si>
    <t>Beth</t>
  </si>
  <si>
    <t>Cindy</t>
  </si>
  <si>
    <t>Duane</t>
  </si>
  <si>
    <t>Eddy</t>
  </si>
  <si>
    <t>Francis</t>
  </si>
  <si>
    <t>Georgia</t>
  </si>
  <si>
    <t>Hilda</t>
  </si>
  <si>
    <t>Isabel</t>
  </si>
  <si>
    <t>Jack</t>
  </si>
  <si>
    <t>Kent</t>
  </si>
  <si>
    <t>Linda</t>
  </si>
  <si>
    <t>Michelle</t>
  </si>
  <si>
    <t>Nancy</t>
  </si>
  <si>
    <t>Market</t>
  </si>
  <si>
    <t>Quarter</t>
  </si>
  <si>
    <t>Sales Amount</t>
  </si>
  <si>
    <t>BUFFALO</t>
  </si>
  <si>
    <t>Q2</t>
  </si>
  <si>
    <t>Q1</t>
  </si>
  <si>
    <t>CALIFORNIA</t>
  </si>
  <si>
    <t>Q3</t>
  </si>
  <si>
    <t>CANADA</t>
  </si>
  <si>
    <t>CHARLOTTE</t>
  </si>
  <si>
    <t>DALLAS</t>
  </si>
  <si>
    <t>DENVER</t>
  </si>
  <si>
    <t>TULSA</t>
  </si>
  <si>
    <t>In descending order</t>
  </si>
  <si>
    <t>Sorted List with respect to Change in (-1)</t>
  </si>
  <si>
    <t>Used SORTBY to sort the repeated one in -1 order</t>
  </si>
  <si>
    <t>sorted with respect to post-test and change in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</si>
</sst>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$#,##0;\(\$#,##0\);\$#,##0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EB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3" borderId="0" xfId="0" applyFill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5" xfId="0" applyBorder="1"/>
    <xf numFmtId="165" fontId="0" fillId="0" borderId="0" xfId="1" applyNumberFormat="1" applyFont="1" applyBorder="1"/>
    <xf numFmtId="165" fontId="0" fillId="0" borderId="6" xfId="1" applyNumberFormat="1" applyFont="1" applyBorder="1"/>
    <xf numFmtId="0" fontId="0" fillId="0" borderId="6" xfId="1" applyNumberFormat="1" applyFont="1" applyBorder="1"/>
    <xf numFmtId="0" fontId="0" fillId="0" borderId="7" xfId="0" applyBorder="1"/>
    <xf numFmtId="165" fontId="0" fillId="0" borderId="8" xfId="1" applyNumberFormat="1" applyFont="1" applyBorder="1"/>
    <xf numFmtId="0" fontId="0" fillId="0" borderId="9" xfId="1" applyNumberFormat="1" applyFont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 applyAlignment="1">
      <alignment horizontal="right"/>
    </xf>
    <xf numFmtId="3" fontId="0" fillId="0" borderId="6" xfId="1" applyNumberFormat="1" applyFont="1" applyBorder="1"/>
    <xf numFmtId="3" fontId="0" fillId="0" borderId="6" xfId="0" applyNumberFormat="1" applyBorder="1"/>
    <xf numFmtId="3" fontId="0" fillId="0" borderId="9" xfId="0" applyNumberFormat="1" applyBorder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/>
    <xf numFmtId="0" fontId="3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EE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workbookViewId="0">
      <selection activeCell="N26" sqref="N26"/>
    </sheetView>
  </sheetViews>
  <sheetFormatPr defaultRowHeight="14.4" x14ac:dyDescent="0.3"/>
  <cols>
    <col min="5" max="5" width="8.109375" bestFit="1" customWidth="1"/>
    <col min="6" max="6" width="17.88671875" bestFit="1" customWidth="1"/>
  </cols>
  <sheetData>
    <row r="1" spans="1:22" x14ac:dyDescent="0.3">
      <c r="A1" s="6" t="s">
        <v>22</v>
      </c>
      <c r="B1" s="7" t="s">
        <v>23</v>
      </c>
      <c r="C1" s="7" t="s">
        <v>24</v>
      </c>
      <c r="D1" s="8" t="s">
        <v>25</v>
      </c>
      <c r="F1" s="22" t="s">
        <v>53</v>
      </c>
      <c r="G1" s="25" t="s">
        <v>54</v>
      </c>
      <c r="H1" s="25"/>
      <c r="I1" s="25"/>
      <c r="J1" s="25"/>
    </row>
    <row r="2" spans="1:22" x14ac:dyDescent="0.3">
      <c r="A2" s="9" t="s">
        <v>26</v>
      </c>
      <c r="B2" s="10">
        <v>56</v>
      </c>
      <c r="C2" s="10">
        <v>67</v>
      </c>
      <c r="D2" s="11">
        <f>C2-B2</f>
        <v>11</v>
      </c>
      <c r="F2" t="str" cm="1">
        <f t="array" ref="F2:F15">_xlfn._xlws.SORT(A2:A15,1,-1)</f>
        <v>Nancy</v>
      </c>
      <c r="G2" t="str" cm="1">
        <f t="array" ref="G2:J16">_xlfn._xlws.SORT(A1:D15,4,-1)</f>
        <v>Student</v>
      </c>
      <c r="H2" t="str">
        <v>Pre-Test</v>
      </c>
      <c r="I2" t="str">
        <v>Post-Test</v>
      </c>
      <c r="J2" t="str">
        <v>Change</v>
      </c>
      <c r="L2" s="26" t="s">
        <v>55</v>
      </c>
      <c r="M2" s="26"/>
      <c r="N2" s="26"/>
      <c r="O2" s="26"/>
      <c r="P2" s="26"/>
      <c r="R2" s="27" t="s">
        <v>56</v>
      </c>
      <c r="S2" s="27"/>
      <c r="T2" s="27"/>
      <c r="U2" s="27"/>
      <c r="V2" s="27"/>
    </row>
    <row r="3" spans="1:22" x14ac:dyDescent="0.3">
      <c r="A3" s="9" t="s">
        <v>27</v>
      </c>
      <c r="B3" s="10">
        <v>59</v>
      </c>
      <c r="C3" s="10">
        <v>74</v>
      </c>
      <c r="D3" s="12">
        <f t="shared" ref="D3:D15" si="0">C3-B3</f>
        <v>15</v>
      </c>
      <c r="F3" t="str">
        <v>Michelle</v>
      </c>
      <c r="G3" t="str">
        <v>Linda</v>
      </c>
      <c r="H3">
        <v>45</v>
      </c>
      <c r="I3">
        <v>68</v>
      </c>
      <c r="J3">
        <v>23</v>
      </c>
      <c r="M3" s="23" t="str" cm="1">
        <f t="array" ref="M3:P17">_xlfn.SORTBY(A1:D15,D1:D15,-1,A1:A15,-1)</f>
        <v>Student</v>
      </c>
      <c r="N3" s="23" t="str">
        <v>Pre-Test</v>
      </c>
      <c r="O3" s="23" t="str">
        <v>Post-Test</v>
      </c>
      <c r="P3" s="23" t="str">
        <v>Change</v>
      </c>
      <c r="R3" t="str" cm="1">
        <f t="array" ref="R3:U17">_xlfn.SORTBY(A1:D15,C1:C15,-1,D1:D15,-1)</f>
        <v>Student</v>
      </c>
      <c r="S3" t="str">
        <v>Pre-Test</v>
      </c>
      <c r="T3" t="str">
        <v>Post-Test</v>
      </c>
      <c r="U3" t="str">
        <v>Change</v>
      </c>
    </row>
    <row r="4" spans="1:22" x14ac:dyDescent="0.3">
      <c r="A4" s="9" t="s">
        <v>28</v>
      </c>
      <c r="B4" s="10">
        <v>98</v>
      </c>
      <c r="C4" s="10">
        <v>92</v>
      </c>
      <c r="D4" s="12">
        <f t="shared" si="0"/>
        <v>-6</v>
      </c>
      <c r="F4" t="str">
        <v>Linda</v>
      </c>
      <c r="G4" t="str">
        <v>Michelle</v>
      </c>
      <c r="H4">
        <v>71</v>
      </c>
      <c r="I4">
        <v>92</v>
      </c>
      <c r="J4">
        <v>21</v>
      </c>
      <c r="M4" t="str">
        <v>Linda</v>
      </c>
      <c r="N4">
        <v>45</v>
      </c>
      <c r="O4">
        <v>68</v>
      </c>
      <c r="P4">
        <v>23</v>
      </c>
      <c r="R4" t="str">
        <v>Eddy</v>
      </c>
      <c r="S4">
        <v>81</v>
      </c>
      <c r="T4">
        <v>100</v>
      </c>
      <c r="U4">
        <v>19</v>
      </c>
    </row>
    <row r="5" spans="1:22" x14ac:dyDescent="0.3">
      <c r="A5" s="9" t="s">
        <v>29</v>
      </c>
      <c r="B5" s="10">
        <v>78</v>
      </c>
      <c r="C5" s="10">
        <v>79</v>
      </c>
      <c r="D5" s="12">
        <f t="shared" si="0"/>
        <v>1</v>
      </c>
      <c r="F5" t="str">
        <v>Kent</v>
      </c>
      <c r="G5" t="str">
        <v>Eddy</v>
      </c>
      <c r="H5">
        <v>81</v>
      </c>
      <c r="I5">
        <v>100</v>
      </c>
      <c r="J5">
        <v>19</v>
      </c>
      <c r="M5" t="str">
        <v>Michelle</v>
      </c>
      <c r="N5">
        <v>71</v>
      </c>
      <c r="O5">
        <v>92</v>
      </c>
      <c r="P5">
        <v>21</v>
      </c>
      <c r="R5" t="str">
        <v>Georgia</v>
      </c>
      <c r="S5">
        <v>100</v>
      </c>
      <c r="T5">
        <v>100</v>
      </c>
      <c r="U5">
        <v>0</v>
      </c>
    </row>
    <row r="6" spans="1:22" x14ac:dyDescent="0.3">
      <c r="A6" s="9" t="s">
        <v>30</v>
      </c>
      <c r="B6" s="10">
        <v>81</v>
      </c>
      <c r="C6" s="10">
        <v>100</v>
      </c>
      <c r="D6" s="12">
        <f t="shared" si="0"/>
        <v>19</v>
      </c>
      <c r="F6" t="str">
        <v>Jack</v>
      </c>
      <c r="G6" t="str">
        <v>Beth</v>
      </c>
      <c r="H6">
        <v>59</v>
      </c>
      <c r="I6">
        <v>74</v>
      </c>
      <c r="J6">
        <v>15</v>
      </c>
      <c r="M6" t="str">
        <v>Eddy</v>
      </c>
      <c r="N6">
        <v>81</v>
      </c>
      <c r="O6">
        <v>100</v>
      </c>
      <c r="P6">
        <v>19</v>
      </c>
      <c r="R6" t="str">
        <v>Hilda</v>
      </c>
      <c r="S6">
        <v>92</v>
      </c>
      <c r="T6">
        <v>99</v>
      </c>
      <c r="U6">
        <v>7</v>
      </c>
    </row>
    <row r="7" spans="1:22" x14ac:dyDescent="0.3">
      <c r="A7" s="9" t="s">
        <v>31</v>
      </c>
      <c r="B7" s="10">
        <v>92</v>
      </c>
      <c r="C7" s="10">
        <v>94</v>
      </c>
      <c r="D7" s="12">
        <f t="shared" si="0"/>
        <v>2</v>
      </c>
      <c r="F7" t="str">
        <v>Isabel</v>
      </c>
      <c r="G7" t="str">
        <v>Isabel</v>
      </c>
      <c r="H7">
        <v>54</v>
      </c>
      <c r="I7">
        <v>69</v>
      </c>
      <c r="J7">
        <v>15</v>
      </c>
      <c r="M7" t="str">
        <v>Isabel</v>
      </c>
      <c r="N7">
        <v>54</v>
      </c>
      <c r="O7">
        <v>69</v>
      </c>
      <c r="P7">
        <v>15</v>
      </c>
      <c r="R7" t="str">
        <v>Francis</v>
      </c>
      <c r="S7">
        <v>92</v>
      </c>
      <c r="T7">
        <v>94</v>
      </c>
      <c r="U7">
        <v>2</v>
      </c>
    </row>
    <row r="8" spans="1:22" x14ac:dyDescent="0.3">
      <c r="A8" s="9" t="s">
        <v>32</v>
      </c>
      <c r="B8" s="10">
        <v>100</v>
      </c>
      <c r="C8" s="10">
        <v>100</v>
      </c>
      <c r="D8" s="12">
        <f t="shared" si="0"/>
        <v>0</v>
      </c>
      <c r="F8" t="str">
        <v>Hilda</v>
      </c>
      <c r="G8" t="str">
        <v>Andy</v>
      </c>
      <c r="H8">
        <v>56</v>
      </c>
      <c r="I8">
        <v>67</v>
      </c>
      <c r="J8">
        <v>11</v>
      </c>
      <c r="M8" t="str">
        <v>Beth</v>
      </c>
      <c r="N8">
        <v>59</v>
      </c>
      <c r="O8">
        <v>74</v>
      </c>
      <c r="P8">
        <v>15</v>
      </c>
      <c r="R8" t="str">
        <v>Michelle</v>
      </c>
      <c r="S8">
        <v>71</v>
      </c>
      <c r="T8">
        <v>92</v>
      </c>
      <c r="U8">
        <v>21</v>
      </c>
    </row>
    <row r="9" spans="1:22" x14ac:dyDescent="0.3">
      <c r="A9" s="9" t="s">
        <v>33</v>
      </c>
      <c r="B9" s="10">
        <v>92</v>
      </c>
      <c r="C9" s="10">
        <v>99</v>
      </c>
      <c r="D9" s="12">
        <f t="shared" si="0"/>
        <v>7</v>
      </c>
      <c r="F9" t="str">
        <v>Georgia</v>
      </c>
      <c r="G9" t="str">
        <v>Kent</v>
      </c>
      <c r="H9">
        <v>80</v>
      </c>
      <c r="I9">
        <v>88</v>
      </c>
      <c r="J9">
        <v>8</v>
      </c>
      <c r="M9" t="str">
        <v>Andy</v>
      </c>
      <c r="N9">
        <v>56</v>
      </c>
      <c r="O9">
        <v>67</v>
      </c>
      <c r="P9">
        <v>11</v>
      </c>
      <c r="R9" t="str">
        <v>Jack</v>
      </c>
      <c r="S9">
        <v>91</v>
      </c>
      <c r="T9">
        <v>92</v>
      </c>
      <c r="U9">
        <v>1</v>
      </c>
    </row>
    <row r="10" spans="1:22" x14ac:dyDescent="0.3">
      <c r="A10" s="9" t="s">
        <v>34</v>
      </c>
      <c r="B10" s="10">
        <v>54</v>
      </c>
      <c r="C10" s="10">
        <v>69</v>
      </c>
      <c r="D10" s="12">
        <f t="shared" si="0"/>
        <v>15</v>
      </c>
      <c r="F10" t="str">
        <v>Francis</v>
      </c>
      <c r="G10" t="str">
        <v>Hilda</v>
      </c>
      <c r="H10">
        <v>92</v>
      </c>
      <c r="I10">
        <v>99</v>
      </c>
      <c r="J10">
        <v>7</v>
      </c>
      <c r="M10" t="str">
        <v>Kent</v>
      </c>
      <c r="N10">
        <v>80</v>
      </c>
      <c r="O10">
        <v>88</v>
      </c>
      <c r="P10">
        <v>8</v>
      </c>
      <c r="R10" t="str">
        <v>Cindy</v>
      </c>
      <c r="S10">
        <v>98</v>
      </c>
      <c r="T10">
        <v>92</v>
      </c>
      <c r="U10">
        <v>-6</v>
      </c>
    </row>
    <row r="11" spans="1:22" x14ac:dyDescent="0.3">
      <c r="A11" s="9" t="s">
        <v>35</v>
      </c>
      <c r="B11" s="10">
        <v>91</v>
      </c>
      <c r="C11" s="10">
        <v>92</v>
      </c>
      <c r="D11" s="12">
        <f t="shared" si="0"/>
        <v>1</v>
      </c>
      <c r="F11" t="str">
        <v>Eddy</v>
      </c>
      <c r="G11" t="str">
        <v>Francis</v>
      </c>
      <c r="H11">
        <v>92</v>
      </c>
      <c r="I11">
        <v>94</v>
      </c>
      <c r="J11">
        <v>2</v>
      </c>
      <c r="M11" t="str">
        <v>Hilda</v>
      </c>
      <c r="N11">
        <v>92</v>
      </c>
      <c r="O11">
        <v>99</v>
      </c>
      <c r="P11">
        <v>7</v>
      </c>
      <c r="R11" t="str">
        <v>Kent</v>
      </c>
      <c r="S11">
        <v>80</v>
      </c>
      <c r="T11">
        <v>88</v>
      </c>
      <c r="U11">
        <v>8</v>
      </c>
    </row>
    <row r="12" spans="1:22" x14ac:dyDescent="0.3">
      <c r="A12" s="9" t="s">
        <v>36</v>
      </c>
      <c r="B12" s="10">
        <v>80</v>
      </c>
      <c r="C12" s="10">
        <v>88</v>
      </c>
      <c r="D12" s="12">
        <f t="shared" si="0"/>
        <v>8</v>
      </c>
      <c r="F12" t="str">
        <v>Duane</v>
      </c>
      <c r="G12" t="str">
        <v>Duane</v>
      </c>
      <c r="H12">
        <v>78</v>
      </c>
      <c r="I12">
        <v>79</v>
      </c>
      <c r="J12">
        <v>1</v>
      </c>
      <c r="M12" t="str">
        <v>Francis</v>
      </c>
      <c r="N12">
        <v>92</v>
      </c>
      <c r="O12">
        <v>94</v>
      </c>
      <c r="P12">
        <v>2</v>
      </c>
      <c r="R12" t="str">
        <v>Nancy</v>
      </c>
      <c r="S12">
        <v>94</v>
      </c>
      <c r="T12">
        <v>83</v>
      </c>
      <c r="U12">
        <v>-11</v>
      </c>
    </row>
    <row r="13" spans="1:22" x14ac:dyDescent="0.3">
      <c r="A13" s="9" t="s">
        <v>37</v>
      </c>
      <c r="B13" s="10">
        <v>45</v>
      </c>
      <c r="C13" s="10">
        <v>68</v>
      </c>
      <c r="D13" s="12">
        <f t="shared" si="0"/>
        <v>23</v>
      </c>
      <c r="F13" t="str">
        <v>Cindy</v>
      </c>
      <c r="G13" t="str">
        <v>Jack</v>
      </c>
      <c r="H13">
        <v>91</v>
      </c>
      <c r="I13">
        <v>92</v>
      </c>
      <c r="J13">
        <v>1</v>
      </c>
      <c r="M13" t="str">
        <v>Jack</v>
      </c>
      <c r="N13">
        <v>91</v>
      </c>
      <c r="O13">
        <v>92</v>
      </c>
      <c r="P13">
        <v>1</v>
      </c>
      <c r="R13" t="str">
        <v>Duane</v>
      </c>
      <c r="S13">
        <v>78</v>
      </c>
      <c r="T13">
        <v>79</v>
      </c>
      <c r="U13">
        <v>1</v>
      </c>
    </row>
    <row r="14" spans="1:22" x14ac:dyDescent="0.3">
      <c r="A14" s="9" t="s">
        <v>38</v>
      </c>
      <c r="B14" s="10">
        <v>71</v>
      </c>
      <c r="C14" s="10">
        <v>92</v>
      </c>
      <c r="D14" s="12">
        <f t="shared" si="0"/>
        <v>21</v>
      </c>
      <c r="F14" t="str">
        <v>Beth</v>
      </c>
      <c r="G14" t="str">
        <v>Georgia</v>
      </c>
      <c r="H14">
        <v>100</v>
      </c>
      <c r="I14">
        <v>100</v>
      </c>
      <c r="J14">
        <v>0</v>
      </c>
      <c r="M14" t="str">
        <v>Duane</v>
      </c>
      <c r="N14">
        <v>78</v>
      </c>
      <c r="O14">
        <v>79</v>
      </c>
      <c r="P14">
        <v>1</v>
      </c>
      <c r="R14" t="str">
        <v>Beth</v>
      </c>
      <c r="S14">
        <v>59</v>
      </c>
      <c r="T14">
        <v>74</v>
      </c>
      <c r="U14">
        <v>15</v>
      </c>
    </row>
    <row r="15" spans="1:22" x14ac:dyDescent="0.3">
      <c r="A15" s="13" t="s">
        <v>39</v>
      </c>
      <c r="B15" s="14">
        <v>94</v>
      </c>
      <c r="C15" s="14">
        <v>83</v>
      </c>
      <c r="D15" s="15">
        <f t="shared" si="0"/>
        <v>-11</v>
      </c>
      <c r="F15" t="str">
        <v>Andy</v>
      </c>
      <c r="G15" t="str">
        <v>Cindy</v>
      </c>
      <c r="H15">
        <v>98</v>
      </c>
      <c r="I15">
        <v>92</v>
      </c>
      <c r="J15">
        <v>-6</v>
      </c>
      <c r="M15" t="str">
        <v>Georgia</v>
      </c>
      <c r="N15">
        <v>100</v>
      </c>
      <c r="O15">
        <v>100</v>
      </c>
      <c r="P15">
        <v>0</v>
      </c>
      <c r="R15" t="str">
        <v>Isabel</v>
      </c>
      <c r="S15">
        <v>54</v>
      </c>
      <c r="T15">
        <v>69</v>
      </c>
      <c r="U15">
        <v>15</v>
      </c>
    </row>
    <row r="16" spans="1:22" x14ac:dyDescent="0.3">
      <c r="G16" t="str">
        <v>Nancy</v>
      </c>
      <c r="H16">
        <v>94</v>
      </c>
      <c r="I16">
        <v>83</v>
      </c>
      <c r="J16">
        <v>-11</v>
      </c>
      <c r="M16" t="str">
        <v>Cindy</v>
      </c>
      <c r="N16">
        <v>98</v>
      </c>
      <c r="O16">
        <v>92</v>
      </c>
      <c r="P16">
        <v>-6</v>
      </c>
      <c r="R16" t="str">
        <v>Linda</v>
      </c>
      <c r="S16">
        <v>45</v>
      </c>
      <c r="T16">
        <v>68</v>
      </c>
      <c r="U16">
        <v>23</v>
      </c>
    </row>
    <row r="17" spans="5:21" x14ac:dyDescent="0.3">
      <c r="M17" t="str">
        <v>Nancy</v>
      </c>
      <c r="N17">
        <v>94</v>
      </c>
      <c r="O17">
        <v>83</v>
      </c>
      <c r="P17">
        <v>-11</v>
      </c>
      <c r="R17" t="str">
        <v>Andy</v>
      </c>
      <c r="S17">
        <v>56</v>
      </c>
      <c r="T17">
        <v>67</v>
      </c>
      <c r="U17">
        <v>11</v>
      </c>
    </row>
    <row r="19" spans="5:21" x14ac:dyDescent="0.3">
      <c r="E19" t="str" cm="1">
        <f t="array" ref="E19:F31">_xlfn._xlws.FILTER(A2:B15,B2:B15&gt;50)</f>
        <v>Andy</v>
      </c>
      <c r="F19">
        <v>56</v>
      </c>
      <c r="H19" t="str" cm="1">
        <f t="array" ref="H19:K20">_xlfn._xlws.FILTER(A2:D15,C2:C15&lt;B2:B15)</f>
        <v>Cindy</v>
      </c>
      <c r="I19">
        <v>98</v>
      </c>
      <c r="J19">
        <v>92</v>
      </c>
      <c r="K19">
        <v>-6</v>
      </c>
    </row>
    <row r="20" spans="5:21" x14ac:dyDescent="0.3">
      <c r="E20" t="str">
        <v>Beth</v>
      </c>
      <c r="F20">
        <v>59</v>
      </c>
      <c r="H20" t="str">
        <v>Nancy</v>
      </c>
      <c r="I20">
        <v>94</v>
      </c>
      <c r="J20">
        <v>83</v>
      </c>
      <c r="K20">
        <v>-11</v>
      </c>
    </row>
    <row r="21" spans="5:21" x14ac:dyDescent="0.3">
      <c r="E21" t="str">
        <v>Cindy</v>
      </c>
      <c r="F21">
        <v>98</v>
      </c>
    </row>
    <row r="22" spans="5:21" x14ac:dyDescent="0.3">
      <c r="E22" t="str">
        <v>Duane</v>
      </c>
      <c r="F22">
        <v>78</v>
      </c>
    </row>
    <row r="23" spans="5:21" x14ac:dyDescent="0.3">
      <c r="E23" t="str">
        <v>Eddy</v>
      </c>
      <c r="F23">
        <v>81</v>
      </c>
    </row>
    <row r="24" spans="5:21" x14ac:dyDescent="0.3">
      <c r="E24" t="str">
        <v>Francis</v>
      </c>
      <c r="F24">
        <v>92</v>
      </c>
    </row>
    <row r="25" spans="5:21" x14ac:dyDescent="0.3">
      <c r="E25" t="str">
        <v>Georgia</v>
      </c>
      <c r="F25">
        <v>100</v>
      </c>
    </row>
    <row r="26" spans="5:21" x14ac:dyDescent="0.3">
      <c r="E26" t="str">
        <v>Hilda</v>
      </c>
      <c r="F26">
        <v>92</v>
      </c>
    </row>
    <row r="27" spans="5:21" x14ac:dyDescent="0.3">
      <c r="E27" t="str">
        <v>Isabel</v>
      </c>
      <c r="F27">
        <v>54</v>
      </c>
    </row>
    <row r="28" spans="5:21" x14ac:dyDescent="0.3">
      <c r="E28" t="str">
        <v>Jack</v>
      </c>
      <c r="F28">
        <v>91</v>
      </c>
    </row>
    <row r="29" spans="5:21" x14ac:dyDescent="0.3">
      <c r="E29" t="str">
        <v>Kent</v>
      </c>
      <c r="F29">
        <v>80</v>
      </c>
    </row>
    <row r="30" spans="5:21" x14ac:dyDescent="0.3">
      <c r="E30" t="str">
        <v>Michelle</v>
      </c>
      <c r="F30">
        <v>71</v>
      </c>
    </row>
    <row r="31" spans="5:21" x14ac:dyDescent="0.3">
      <c r="E31" t="str">
        <v>Nancy</v>
      </c>
      <c r="F31">
        <v>94</v>
      </c>
    </row>
  </sheetData>
  <mergeCells count="3">
    <mergeCell ref="G1:J1"/>
    <mergeCell ref="L2:P2"/>
    <mergeCell ref="R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E4BF-7EE2-4868-94BA-FE7553DAF958}">
  <dimension ref="B2:F51"/>
  <sheetViews>
    <sheetView tabSelected="1" workbookViewId="0">
      <selection activeCell="I19" sqref="I19"/>
    </sheetView>
  </sheetViews>
  <sheetFormatPr defaultRowHeight="14.4" x14ac:dyDescent="0.3"/>
  <sheetData>
    <row r="2" spans="2:6" x14ac:dyDescent="0.3">
      <c r="B2" cm="1">
        <f t="array" aca="1" ref="B2:B51" ca="1">_xlfn.SORTBY(_xlfn.SEQUENCE(50), _xlfn.RANDARRAY(50), -1)</f>
        <v>45</v>
      </c>
      <c r="D2" cm="1">
        <f t="array" aca="1" ref="D2:D51" ca="1">_xlfn.RANDARRAY(50,1,1,50,TRUE)</f>
        <v>1</v>
      </c>
      <c r="F2" cm="1">
        <f t="array" ref="F2:F51">_xlfn.SEQUENCE(50,1,50,-1)</f>
        <v>50</v>
      </c>
    </row>
    <row r="3" spans="2:6" x14ac:dyDescent="0.3">
      <c r="B3">
        <f ca="1"/>
        <v>44</v>
      </c>
      <c r="D3">
        <f ca="1"/>
        <v>21</v>
      </c>
      <c r="F3">
        <v>49</v>
      </c>
    </row>
    <row r="4" spans="2:6" x14ac:dyDescent="0.3">
      <c r="B4">
        <f ca="1"/>
        <v>10</v>
      </c>
      <c r="D4">
        <f ca="1"/>
        <v>31</v>
      </c>
      <c r="F4">
        <v>48</v>
      </c>
    </row>
    <row r="5" spans="2:6" x14ac:dyDescent="0.3">
      <c r="B5">
        <f ca="1"/>
        <v>31</v>
      </c>
      <c r="D5">
        <f ca="1"/>
        <v>36</v>
      </c>
      <c r="F5">
        <v>47</v>
      </c>
    </row>
    <row r="6" spans="2:6" x14ac:dyDescent="0.3">
      <c r="B6">
        <f ca="1"/>
        <v>14</v>
      </c>
      <c r="D6">
        <f ca="1"/>
        <v>7</v>
      </c>
      <c r="F6">
        <v>46</v>
      </c>
    </row>
    <row r="7" spans="2:6" x14ac:dyDescent="0.3">
      <c r="B7">
        <f ca="1"/>
        <v>23</v>
      </c>
      <c r="D7">
        <f ca="1"/>
        <v>29</v>
      </c>
      <c r="F7">
        <v>45</v>
      </c>
    </row>
    <row r="8" spans="2:6" x14ac:dyDescent="0.3">
      <c r="B8">
        <f ca="1"/>
        <v>5</v>
      </c>
      <c r="D8">
        <f ca="1"/>
        <v>20</v>
      </c>
      <c r="F8">
        <v>44</v>
      </c>
    </row>
    <row r="9" spans="2:6" x14ac:dyDescent="0.3">
      <c r="B9">
        <f ca="1"/>
        <v>47</v>
      </c>
      <c r="D9">
        <f ca="1"/>
        <v>10</v>
      </c>
      <c r="F9">
        <v>43</v>
      </c>
    </row>
    <row r="10" spans="2:6" x14ac:dyDescent="0.3">
      <c r="B10">
        <f ca="1"/>
        <v>35</v>
      </c>
      <c r="D10">
        <f ca="1"/>
        <v>50</v>
      </c>
      <c r="F10">
        <v>42</v>
      </c>
    </row>
    <row r="11" spans="2:6" x14ac:dyDescent="0.3">
      <c r="B11">
        <f ca="1"/>
        <v>38</v>
      </c>
      <c r="D11">
        <f ca="1"/>
        <v>6</v>
      </c>
      <c r="F11">
        <v>41</v>
      </c>
    </row>
    <row r="12" spans="2:6" x14ac:dyDescent="0.3">
      <c r="B12">
        <f ca="1"/>
        <v>30</v>
      </c>
      <c r="D12">
        <f ca="1"/>
        <v>5</v>
      </c>
      <c r="F12">
        <v>40</v>
      </c>
    </row>
    <row r="13" spans="2:6" x14ac:dyDescent="0.3">
      <c r="B13">
        <f ca="1"/>
        <v>1</v>
      </c>
      <c r="D13">
        <f ca="1"/>
        <v>33</v>
      </c>
      <c r="F13">
        <v>39</v>
      </c>
    </row>
    <row r="14" spans="2:6" x14ac:dyDescent="0.3">
      <c r="B14">
        <f ca="1"/>
        <v>3</v>
      </c>
      <c r="D14">
        <f ca="1"/>
        <v>39</v>
      </c>
      <c r="F14">
        <v>38</v>
      </c>
    </row>
    <row r="15" spans="2:6" x14ac:dyDescent="0.3">
      <c r="B15">
        <f ca="1"/>
        <v>34</v>
      </c>
      <c r="D15">
        <f ca="1"/>
        <v>38</v>
      </c>
      <c r="F15">
        <v>37</v>
      </c>
    </row>
    <row r="16" spans="2:6" x14ac:dyDescent="0.3">
      <c r="B16">
        <f ca="1"/>
        <v>21</v>
      </c>
      <c r="D16">
        <f ca="1"/>
        <v>44</v>
      </c>
      <c r="F16">
        <v>36</v>
      </c>
    </row>
    <row r="17" spans="2:6" x14ac:dyDescent="0.3">
      <c r="B17">
        <f ca="1"/>
        <v>20</v>
      </c>
      <c r="D17">
        <f ca="1"/>
        <v>21</v>
      </c>
      <c r="F17">
        <v>35</v>
      </c>
    </row>
    <row r="18" spans="2:6" x14ac:dyDescent="0.3">
      <c r="B18">
        <f ca="1"/>
        <v>32</v>
      </c>
      <c r="D18">
        <f ca="1"/>
        <v>22</v>
      </c>
      <c r="F18">
        <v>34</v>
      </c>
    </row>
    <row r="19" spans="2:6" x14ac:dyDescent="0.3">
      <c r="B19">
        <f ca="1"/>
        <v>36</v>
      </c>
      <c r="D19">
        <f ca="1"/>
        <v>26</v>
      </c>
      <c r="F19">
        <v>33</v>
      </c>
    </row>
    <row r="20" spans="2:6" x14ac:dyDescent="0.3">
      <c r="B20">
        <f ca="1"/>
        <v>18</v>
      </c>
      <c r="D20">
        <f ca="1"/>
        <v>8</v>
      </c>
      <c r="F20">
        <v>32</v>
      </c>
    </row>
    <row r="21" spans="2:6" x14ac:dyDescent="0.3">
      <c r="B21">
        <f ca="1"/>
        <v>17</v>
      </c>
      <c r="D21">
        <f ca="1"/>
        <v>45</v>
      </c>
      <c r="F21">
        <v>31</v>
      </c>
    </row>
    <row r="22" spans="2:6" x14ac:dyDescent="0.3">
      <c r="B22">
        <f ca="1"/>
        <v>41</v>
      </c>
      <c r="D22">
        <f ca="1"/>
        <v>47</v>
      </c>
      <c r="F22">
        <v>30</v>
      </c>
    </row>
    <row r="23" spans="2:6" x14ac:dyDescent="0.3">
      <c r="B23">
        <f ca="1"/>
        <v>46</v>
      </c>
      <c r="D23">
        <f ca="1"/>
        <v>39</v>
      </c>
      <c r="F23">
        <v>29</v>
      </c>
    </row>
    <row r="24" spans="2:6" x14ac:dyDescent="0.3">
      <c r="B24">
        <f ca="1"/>
        <v>49</v>
      </c>
      <c r="D24">
        <f ca="1"/>
        <v>20</v>
      </c>
      <c r="F24">
        <v>28</v>
      </c>
    </row>
    <row r="25" spans="2:6" x14ac:dyDescent="0.3">
      <c r="B25">
        <f ca="1"/>
        <v>48</v>
      </c>
      <c r="D25">
        <f ca="1"/>
        <v>46</v>
      </c>
      <c r="F25">
        <v>27</v>
      </c>
    </row>
    <row r="26" spans="2:6" x14ac:dyDescent="0.3">
      <c r="B26">
        <f ca="1"/>
        <v>6</v>
      </c>
      <c r="D26">
        <f ca="1"/>
        <v>49</v>
      </c>
      <c r="F26">
        <v>26</v>
      </c>
    </row>
    <row r="27" spans="2:6" x14ac:dyDescent="0.3">
      <c r="B27">
        <f ca="1"/>
        <v>37</v>
      </c>
      <c r="D27">
        <f ca="1"/>
        <v>46</v>
      </c>
      <c r="F27">
        <v>25</v>
      </c>
    </row>
    <row r="28" spans="2:6" x14ac:dyDescent="0.3">
      <c r="B28">
        <f ca="1"/>
        <v>39</v>
      </c>
      <c r="D28">
        <f ca="1"/>
        <v>1</v>
      </c>
      <c r="F28">
        <v>24</v>
      </c>
    </row>
    <row r="29" spans="2:6" x14ac:dyDescent="0.3">
      <c r="B29">
        <f ca="1"/>
        <v>25</v>
      </c>
      <c r="D29">
        <f ca="1"/>
        <v>37</v>
      </c>
      <c r="F29">
        <v>23</v>
      </c>
    </row>
    <row r="30" spans="2:6" x14ac:dyDescent="0.3">
      <c r="B30">
        <f ca="1"/>
        <v>29</v>
      </c>
      <c r="D30">
        <f ca="1"/>
        <v>23</v>
      </c>
      <c r="F30">
        <v>22</v>
      </c>
    </row>
    <row r="31" spans="2:6" x14ac:dyDescent="0.3">
      <c r="B31">
        <f ca="1"/>
        <v>43</v>
      </c>
      <c r="D31">
        <f ca="1"/>
        <v>9</v>
      </c>
      <c r="F31">
        <v>21</v>
      </c>
    </row>
    <row r="32" spans="2:6" x14ac:dyDescent="0.3">
      <c r="B32">
        <f ca="1"/>
        <v>19</v>
      </c>
      <c r="D32">
        <f ca="1"/>
        <v>37</v>
      </c>
      <c r="F32">
        <v>20</v>
      </c>
    </row>
    <row r="33" spans="2:6" x14ac:dyDescent="0.3">
      <c r="B33">
        <f ca="1"/>
        <v>4</v>
      </c>
      <c r="D33">
        <f ca="1"/>
        <v>10</v>
      </c>
      <c r="F33">
        <v>19</v>
      </c>
    </row>
    <row r="34" spans="2:6" x14ac:dyDescent="0.3">
      <c r="B34">
        <f ca="1"/>
        <v>15</v>
      </c>
      <c r="D34">
        <f ca="1"/>
        <v>6</v>
      </c>
      <c r="F34">
        <v>18</v>
      </c>
    </row>
    <row r="35" spans="2:6" x14ac:dyDescent="0.3">
      <c r="B35">
        <f ca="1"/>
        <v>7</v>
      </c>
      <c r="D35">
        <f ca="1"/>
        <v>14</v>
      </c>
      <c r="F35">
        <v>17</v>
      </c>
    </row>
    <row r="36" spans="2:6" x14ac:dyDescent="0.3">
      <c r="B36">
        <f ca="1"/>
        <v>8</v>
      </c>
      <c r="D36">
        <f ca="1"/>
        <v>11</v>
      </c>
      <c r="F36">
        <v>16</v>
      </c>
    </row>
    <row r="37" spans="2:6" x14ac:dyDescent="0.3">
      <c r="B37">
        <f ca="1"/>
        <v>11</v>
      </c>
      <c r="D37">
        <f ca="1"/>
        <v>37</v>
      </c>
      <c r="F37">
        <v>15</v>
      </c>
    </row>
    <row r="38" spans="2:6" x14ac:dyDescent="0.3">
      <c r="B38">
        <f ca="1"/>
        <v>26</v>
      </c>
      <c r="D38">
        <f ca="1"/>
        <v>32</v>
      </c>
      <c r="F38">
        <v>14</v>
      </c>
    </row>
    <row r="39" spans="2:6" x14ac:dyDescent="0.3">
      <c r="B39">
        <f ca="1"/>
        <v>24</v>
      </c>
      <c r="D39">
        <f ca="1"/>
        <v>35</v>
      </c>
      <c r="F39">
        <v>13</v>
      </c>
    </row>
    <row r="40" spans="2:6" x14ac:dyDescent="0.3">
      <c r="B40">
        <f ca="1"/>
        <v>50</v>
      </c>
      <c r="D40">
        <f ca="1"/>
        <v>6</v>
      </c>
      <c r="F40">
        <v>12</v>
      </c>
    </row>
    <row r="41" spans="2:6" x14ac:dyDescent="0.3">
      <c r="B41">
        <f ca="1"/>
        <v>22</v>
      </c>
      <c r="D41">
        <f ca="1"/>
        <v>30</v>
      </c>
      <c r="F41">
        <v>11</v>
      </c>
    </row>
    <row r="42" spans="2:6" x14ac:dyDescent="0.3">
      <c r="B42">
        <f ca="1"/>
        <v>27</v>
      </c>
      <c r="D42">
        <f ca="1"/>
        <v>9</v>
      </c>
      <c r="F42">
        <v>10</v>
      </c>
    </row>
    <row r="43" spans="2:6" x14ac:dyDescent="0.3">
      <c r="B43">
        <f ca="1"/>
        <v>9</v>
      </c>
      <c r="D43">
        <f ca="1"/>
        <v>15</v>
      </c>
      <c r="F43">
        <v>9</v>
      </c>
    </row>
    <row r="44" spans="2:6" x14ac:dyDescent="0.3">
      <c r="B44">
        <f ca="1"/>
        <v>33</v>
      </c>
      <c r="D44">
        <f ca="1"/>
        <v>33</v>
      </c>
      <c r="F44">
        <v>8</v>
      </c>
    </row>
    <row r="45" spans="2:6" x14ac:dyDescent="0.3">
      <c r="B45">
        <f ca="1"/>
        <v>13</v>
      </c>
      <c r="D45">
        <f ca="1"/>
        <v>34</v>
      </c>
      <c r="F45">
        <v>7</v>
      </c>
    </row>
    <row r="46" spans="2:6" x14ac:dyDescent="0.3">
      <c r="B46">
        <f ca="1"/>
        <v>42</v>
      </c>
      <c r="D46">
        <f ca="1"/>
        <v>15</v>
      </c>
      <c r="F46">
        <v>6</v>
      </c>
    </row>
    <row r="47" spans="2:6" x14ac:dyDescent="0.3">
      <c r="B47">
        <f ca="1"/>
        <v>40</v>
      </c>
      <c r="D47">
        <f ca="1"/>
        <v>31</v>
      </c>
      <c r="F47">
        <v>5</v>
      </c>
    </row>
    <row r="48" spans="2:6" x14ac:dyDescent="0.3">
      <c r="B48">
        <f ca="1"/>
        <v>28</v>
      </c>
      <c r="D48">
        <f ca="1"/>
        <v>15</v>
      </c>
      <c r="F48">
        <v>4</v>
      </c>
    </row>
    <row r="49" spans="2:6" x14ac:dyDescent="0.3">
      <c r="B49">
        <f ca="1"/>
        <v>12</v>
      </c>
      <c r="D49">
        <f ca="1"/>
        <v>35</v>
      </c>
      <c r="F49">
        <v>3</v>
      </c>
    </row>
    <row r="50" spans="2:6" x14ac:dyDescent="0.3">
      <c r="B50">
        <f ca="1"/>
        <v>2</v>
      </c>
      <c r="D50">
        <f ca="1"/>
        <v>18</v>
      </c>
      <c r="F50">
        <v>2</v>
      </c>
    </row>
    <row r="51" spans="2:6" x14ac:dyDescent="0.3">
      <c r="B51">
        <f ca="1"/>
        <v>16</v>
      </c>
      <c r="D51">
        <f ca="1"/>
        <v>34</v>
      </c>
      <c r="F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G2" sqref="G2"/>
    </sheetView>
  </sheetViews>
  <sheetFormatPr defaultRowHeight="14.4" x14ac:dyDescent="0.3"/>
  <cols>
    <col min="1" max="1" width="11" bestFit="1" customWidth="1"/>
    <col min="2" max="2" width="7.44140625" bestFit="1" customWidth="1"/>
    <col min="3" max="3" width="12.5546875" bestFit="1" customWidth="1"/>
  </cols>
  <sheetData>
    <row r="1" spans="1:5" x14ac:dyDescent="0.3">
      <c r="A1" s="16" t="s">
        <v>40</v>
      </c>
      <c r="B1" s="17" t="s">
        <v>41</v>
      </c>
      <c r="C1" s="18" t="s">
        <v>42</v>
      </c>
    </row>
    <row r="2" spans="1:5" x14ac:dyDescent="0.3">
      <c r="A2" s="9" t="s">
        <v>43</v>
      </c>
      <c r="B2" s="10" t="s">
        <v>44</v>
      </c>
      <c r="C2" s="19">
        <v>66844.850000000006</v>
      </c>
      <c r="E2" t="str" cm="1">
        <f t="array" ref="E2:E9">_xlfn.UNIQUE(A1:A13,FALSE,FALSE)</f>
        <v>Market</v>
      </c>
    </row>
    <row r="3" spans="1:5" x14ac:dyDescent="0.3">
      <c r="A3" s="9" t="s">
        <v>43</v>
      </c>
      <c r="B3" s="10" t="s">
        <v>45</v>
      </c>
      <c r="C3" s="19">
        <v>283336.83</v>
      </c>
      <c r="E3" t="str">
        <v>BUFFALO</v>
      </c>
    </row>
    <row r="4" spans="1:5" x14ac:dyDescent="0.3">
      <c r="A4" s="9" t="s">
        <v>46</v>
      </c>
      <c r="B4" s="10" t="s">
        <v>44</v>
      </c>
      <c r="C4" s="19">
        <v>137401.34</v>
      </c>
      <c r="E4" t="str">
        <v>CALIFORNIA</v>
      </c>
    </row>
    <row r="5" spans="1:5" x14ac:dyDescent="0.3">
      <c r="A5" s="9" t="s">
        <v>46</v>
      </c>
      <c r="B5" s="10" t="s">
        <v>47</v>
      </c>
      <c r="C5" s="19">
        <v>78755.39</v>
      </c>
      <c r="E5" t="str">
        <v>CANADA</v>
      </c>
    </row>
    <row r="6" spans="1:5" x14ac:dyDescent="0.3">
      <c r="A6" s="9" t="s">
        <v>48</v>
      </c>
      <c r="B6" s="10" t="s">
        <v>47</v>
      </c>
      <c r="C6" s="19">
        <v>192716.58</v>
      </c>
      <c r="E6" t="str">
        <v>CHARLOTTE</v>
      </c>
    </row>
    <row r="7" spans="1:5" x14ac:dyDescent="0.3">
      <c r="A7" s="9" t="s">
        <v>49</v>
      </c>
      <c r="B7" s="10" t="s">
        <v>47</v>
      </c>
      <c r="C7" s="19">
        <v>126723.38</v>
      </c>
      <c r="E7" t="str">
        <v>DALLAS</v>
      </c>
    </row>
    <row r="8" spans="1:5" x14ac:dyDescent="0.3">
      <c r="A8" s="9" t="s">
        <v>49</v>
      </c>
      <c r="B8" s="10" t="s">
        <v>45</v>
      </c>
      <c r="C8" s="19">
        <v>593457.92000000004</v>
      </c>
      <c r="E8" t="str">
        <v>DENVER</v>
      </c>
    </row>
    <row r="9" spans="1:5" x14ac:dyDescent="0.3">
      <c r="A9" s="9" t="s">
        <v>50</v>
      </c>
      <c r="B9" s="10" t="s">
        <v>44</v>
      </c>
      <c r="C9" s="19">
        <v>318807.28000000003</v>
      </c>
      <c r="E9" t="str">
        <v>TULSA</v>
      </c>
    </row>
    <row r="10" spans="1:5" x14ac:dyDescent="0.3">
      <c r="A10" s="9" t="s">
        <v>50</v>
      </c>
      <c r="B10" s="10" t="s">
        <v>45</v>
      </c>
      <c r="C10" s="19">
        <v>352632.43000000005</v>
      </c>
    </row>
    <row r="11" spans="1:5" x14ac:dyDescent="0.3">
      <c r="A11" s="9" t="s">
        <v>51</v>
      </c>
      <c r="B11" s="10" t="s">
        <v>44</v>
      </c>
      <c r="C11" s="19">
        <v>4312563.91</v>
      </c>
    </row>
    <row r="12" spans="1:5" x14ac:dyDescent="0.3">
      <c r="A12" s="9" t="s">
        <v>51</v>
      </c>
      <c r="B12" s="10" t="s">
        <v>47</v>
      </c>
      <c r="C12" s="20">
        <v>116030.23000000001</v>
      </c>
    </row>
    <row r="13" spans="1:5" x14ac:dyDescent="0.3">
      <c r="A13" s="13" t="s">
        <v>52</v>
      </c>
      <c r="B13" s="14" t="s">
        <v>45</v>
      </c>
      <c r="C13" s="21">
        <v>516989.15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selection activeCell="F20" sqref="F20"/>
    </sheetView>
  </sheetViews>
  <sheetFormatPr defaultRowHeight="14.4" x14ac:dyDescent="0.3"/>
  <cols>
    <col min="1" max="1" width="25.21875" bestFit="1" customWidth="1"/>
    <col min="2" max="2" width="8.33203125" bestFit="1" customWidth="1"/>
    <col min="5" max="5" width="8.109375" bestFit="1" customWidth="1"/>
  </cols>
  <sheetData>
    <row r="1" spans="1:7" x14ac:dyDescent="0.3">
      <c r="A1" s="1" t="s">
        <v>0</v>
      </c>
      <c r="B1" s="2" t="s">
        <v>1</v>
      </c>
      <c r="E1" s="24" t="s">
        <v>20</v>
      </c>
      <c r="G1" s="5" t="s">
        <v>21</v>
      </c>
    </row>
    <row r="2" spans="1:7" x14ac:dyDescent="0.3">
      <c r="A2" s="3" t="s">
        <v>2</v>
      </c>
      <c r="B2" s="4">
        <v>5000</v>
      </c>
      <c r="E2">
        <f>_xlfn.XLOOKUP($E$1,A2:A19,B2:B19,,2)</f>
        <v>11975.4</v>
      </c>
      <c r="G2">
        <f>_xlfn.XLOOKUP($G$1,A2:A19,B2:B19, ,2)</f>
        <v>30000</v>
      </c>
    </row>
    <row r="3" spans="1:7" x14ac:dyDescent="0.3">
      <c r="A3" s="3" t="s">
        <v>3</v>
      </c>
      <c r="B3" s="4">
        <v>30000</v>
      </c>
    </row>
    <row r="4" spans="1:7" x14ac:dyDescent="0.3">
      <c r="A4" s="3" t="s">
        <v>4</v>
      </c>
      <c r="B4" s="4">
        <v>10000</v>
      </c>
    </row>
    <row r="5" spans="1:7" x14ac:dyDescent="0.3">
      <c r="A5" s="3" t="s">
        <v>5</v>
      </c>
      <c r="B5" s="4">
        <v>9306.32</v>
      </c>
    </row>
    <row r="6" spans="1:7" x14ac:dyDescent="0.3">
      <c r="A6" s="3" t="s">
        <v>6</v>
      </c>
      <c r="B6" s="4">
        <v>11975.4</v>
      </c>
    </row>
    <row r="7" spans="1:7" x14ac:dyDescent="0.3">
      <c r="A7" s="3" t="s">
        <v>7</v>
      </c>
      <c r="B7" s="4">
        <v>59.29</v>
      </c>
    </row>
    <row r="8" spans="1:7" x14ac:dyDescent="0.3">
      <c r="A8" s="3" t="s">
        <v>8</v>
      </c>
      <c r="B8" s="4">
        <v>18.649999999999999</v>
      </c>
    </row>
    <row r="9" spans="1:7" x14ac:dyDescent="0.3">
      <c r="A9" s="3" t="s">
        <v>9</v>
      </c>
      <c r="B9" s="4">
        <v>50023.820000000007</v>
      </c>
    </row>
    <row r="10" spans="1:7" x14ac:dyDescent="0.3">
      <c r="A10" s="3" t="s">
        <v>10</v>
      </c>
      <c r="B10" s="4">
        <v>91.99</v>
      </c>
    </row>
    <row r="11" spans="1:7" x14ac:dyDescent="0.3">
      <c r="A11" s="3" t="s">
        <v>11</v>
      </c>
      <c r="B11" s="4">
        <v>9488.619999999999</v>
      </c>
    </row>
    <row r="12" spans="1:7" x14ac:dyDescent="0.3">
      <c r="A12" s="3" t="s">
        <v>12</v>
      </c>
      <c r="B12" s="4">
        <v>11160.58</v>
      </c>
    </row>
    <row r="13" spans="1:7" x14ac:dyDescent="0.3">
      <c r="A13" s="3" t="s">
        <v>13</v>
      </c>
      <c r="B13" s="4">
        <v>10685.61</v>
      </c>
    </row>
    <row r="14" spans="1:7" x14ac:dyDescent="0.3">
      <c r="A14" s="3" t="s">
        <v>14</v>
      </c>
      <c r="B14" s="4">
        <v>30850.71</v>
      </c>
    </row>
    <row r="15" spans="1:7" x14ac:dyDescent="0.3">
      <c r="A15" s="3" t="s">
        <v>15</v>
      </c>
      <c r="B15" s="4">
        <v>35000</v>
      </c>
    </row>
    <row r="16" spans="1:7" x14ac:dyDescent="0.3">
      <c r="A16" s="3" t="s">
        <v>16</v>
      </c>
      <c r="B16" s="4">
        <v>6.58</v>
      </c>
    </row>
    <row r="17" spans="1:2" x14ac:dyDescent="0.3">
      <c r="A17" s="3" t="s">
        <v>17</v>
      </c>
      <c r="B17" s="4">
        <v>12392.61</v>
      </c>
    </row>
    <row r="18" spans="1:2" x14ac:dyDescent="0.3">
      <c r="A18" s="3" t="s">
        <v>18</v>
      </c>
      <c r="B18" s="4">
        <v>30000</v>
      </c>
    </row>
    <row r="19" spans="1:2" x14ac:dyDescent="0.3">
      <c r="A19" s="3" t="s">
        <v>19</v>
      </c>
      <c r="B19" s="4">
        <v>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Sheet1</vt:lpstr>
      <vt:lpstr>Unique</vt:lpstr>
      <vt:lpstr>WildCard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2026-04-01T02:12:09Z</dcterms:created>
  <dcterms:modified xsi:type="dcterms:W3CDTF">2026-04-02T01:39:27Z</dcterms:modified>
</cp:coreProperties>
</file>