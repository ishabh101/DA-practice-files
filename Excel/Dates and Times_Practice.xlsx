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29" documentId="13_ncr:1_{C8A1436B-367F-4227-A49F-D57474D98D74}" xr6:coauthVersionLast="47" xr6:coauthVersionMax="47" xr10:uidLastSave="{1A01B096-F8AC-41A6-A92C-D77FDF1D68C9}"/>
  <bookViews>
    <workbookView xWindow="-108" yWindow="-108" windowWidth="23256" windowHeight="12456" activeTab="1" xr2:uid="{00000000-000D-0000-FFFF-FFFF00000000}"/>
  </bookViews>
  <sheets>
    <sheet name="TODAY function" sheetId="17" r:id="rId1"/>
    <sheet name="Calculating Age" sheetId="37" r:id="rId2"/>
    <sheet name="Figure 11.14" sheetId="19" r:id="rId3"/>
    <sheet name="Figure 11.15" sheetId="20" r:id="rId4"/>
    <sheet name="Figure 11.16" sheetId="38" r:id="rId5"/>
    <sheet name="Figure 11.17 and 11.18" sheetId="21" r:id="rId6"/>
    <sheet name="Figure 11.19" sheetId="22" r:id="rId7"/>
    <sheet name="Figure 11.20" sheetId="23" r:id="rId8"/>
    <sheet name="Figure 11.21" sheetId="24" r:id="rId9"/>
    <sheet name="Figure 11.22" sheetId="25" r:id="rId10"/>
    <sheet name="Figure 11.23" sheetId="26" r:id="rId11"/>
    <sheet name="Figure 11.24" sheetId="27" r:id="rId12"/>
    <sheet name="Figure 11.25" sheetId="28" r:id="rId13"/>
    <sheet name="Figure 11.26" sheetId="39" r:id="rId14"/>
    <sheet name="Figure 11.27" sheetId="32" r:id="rId15"/>
    <sheet name="Figure11.28" sheetId="33" r:id="rId16"/>
    <sheet name="Figure 11.29" sheetId="34" r:id="rId17"/>
    <sheet name="Figure 11.30" sheetId="35" r:id="rId18"/>
    <sheet name="Figure 11.31" sheetId="36" r:id="rId19"/>
  </sheets>
  <definedNames>
    <definedName name="Car" localSheetId="1">#REF!</definedName>
    <definedName name="Car" localSheetId="4">#REF!</definedName>
    <definedName name="Car" localSheetId="13">#REF!</definedName>
    <definedName name="Car">#REF!</definedName>
    <definedName name="Truck" localSheetId="1">#REF!</definedName>
    <definedName name="Truck" localSheetId="4">#REF!</definedName>
    <definedName name="Truck" localSheetId="13">#REF!</definedName>
    <definedName name="Truck">#REF!</definedName>
    <definedName name="xlCOMMA">","</definedName>
    <definedName name="xlDOUBLE">""""</definedName>
    <definedName name="xlSINGLE">"'"</definedName>
    <definedName name="xlSPACE">" 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7" l="1"/>
  <c r="C3" i="17"/>
  <c r="F3" i="17"/>
  <c r="C7" i="37"/>
  <c r="C5" i="37"/>
  <c r="C4" i="37"/>
  <c r="C7" i="17"/>
  <c r="D4" i="33"/>
  <c r="C3" i="35"/>
  <c r="C3" i="39"/>
  <c r="C3" i="28"/>
  <c r="C3" i="26"/>
  <c r="B7" i="25"/>
  <c r="B4" i="24"/>
  <c r="B4" i="21"/>
  <c r="B5" i="2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B174" i="21" s="1"/>
  <c r="B175" i="21" s="1"/>
  <c r="B176" i="21" s="1"/>
  <c r="B177" i="21" s="1"/>
  <c r="B178" i="21" s="1"/>
  <c r="B179" i="21" s="1"/>
  <c r="B180" i="21" s="1"/>
  <c r="B181" i="21" s="1"/>
  <c r="B182" i="21" s="1"/>
  <c r="B183" i="21" s="1"/>
  <c r="B184" i="21" s="1"/>
  <c r="B185" i="21" s="1"/>
  <c r="B186" i="21" s="1"/>
  <c r="B187" i="21" s="1"/>
  <c r="B188" i="21" s="1"/>
  <c r="B189" i="21" s="1"/>
  <c r="B190" i="21" s="1"/>
  <c r="B191" i="21" s="1"/>
  <c r="B192" i="21" s="1"/>
  <c r="B193" i="21" s="1"/>
  <c r="B194" i="21" s="1"/>
  <c r="B195" i="21" s="1"/>
  <c r="B196" i="21" s="1"/>
  <c r="B197" i="21" s="1"/>
  <c r="B198" i="21" s="1"/>
  <c r="B199" i="21" s="1"/>
  <c r="B200" i="21" s="1"/>
  <c r="B201" i="21" s="1"/>
  <c r="B202" i="21" s="1"/>
  <c r="B203" i="21" s="1"/>
  <c r="B204" i="21" s="1"/>
  <c r="B205" i="21" s="1"/>
  <c r="B206" i="21" s="1"/>
  <c r="B207" i="21" s="1"/>
  <c r="B208" i="21" s="1"/>
  <c r="B209" i="21" s="1"/>
  <c r="B210" i="21" s="1"/>
  <c r="B211" i="21" s="1"/>
  <c r="B212" i="21" s="1"/>
  <c r="B213" i="21" s="1"/>
  <c r="B214" i="21" s="1"/>
  <c r="B215" i="21" s="1"/>
  <c r="B216" i="21" s="1"/>
  <c r="B217" i="21" s="1"/>
  <c r="B218" i="21" s="1"/>
  <c r="B219" i="21" s="1"/>
  <c r="B220" i="21" s="1"/>
  <c r="B221" i="21" s="1"/>
  <c r="B222" i="21" s="1"/>
  <c r="B223" i="21" s="1"/>
  <c r="B224" i="21" s="1"/>
  <c r="B225" i="21" s="1"/>
  <c r="B226" i="21" s="1"/>
  <c r="B227" i="21" s="1"/>
  <c r="B228" i="21" s="1"/>
  <c r="B229" i="21" s="1"/>
  <c r="B230" i="21" s="1"/>
  <c r="B231" i="21" s="1"/>
  <c r="B232" i="21" s="1"/>
  <c r="B233" i="21" s="1"/>
  <c r="B234" i="21" s="1"/>
  <c r="B235" i="21" s="1"/>
  <c r="B236" i="21" s="1"/>
  <c r="B237" i="21" s="1"/>
  <c r="B238" i="21" s="1"/>
  <c r="B239" i="21" s="1"/>
  <c r="B240" i="21" s="1"/>
  <c r="B241" i="21" s="1"/>
  <c r="B242" i="21" s="1"/>
  <c r="B243" i="21" s="1"/>
  <c r="B244" i="21" s="1"/>
  <c r="B245" i="21" s="1"/>
  <c r="B246" i="21" s="1"/>
  <c r="B247" i="21" s="1"/>
  <c r="B248" i="21" s="1"/>
  <c r="B249" i="21" s="1"/>
  <c r="B250" i="21" s="1"/>
  <c r="B251" i="21" s="1"/>
  <c r="B252" i="21" s="1"/>
  <c r="B253" i="21" s="1"/>
  <c r="B254" i="21" s="1"/>
  <c r="F4" i="38"/>
  <c r="E4" i="20"/>
  <c r="D4" i="19"/>
  <c r="C3" i="27"/>
  <c r="D9" i="19"/>
  <c r="D8" i="19"/>
  <c r="D5" i="19" l="1"/>
  <c r="D6" i="19"/>
  <c r="D7" i="19"/>
  <c r="E3" i="32" l="1"/>
  <c r="D5" i="33"/>
  <c r="C5" i="32"/>
  <c r="C4" i="39"/>
  <c r="C5" i="39"/>
  <c r="C6" i="39"/>
  <c r="C7" i="39"/>
  <c r="C8" i="39"/>
  <c r="C9" i="39"/>
  <c r="C10" i="39"/>
  <c r="C11" i="39"/>
  <c r="B5" i="24"/>
  <c r="B6" i="24"/>
  <c r="B7" i="24"/>
  <c r="B8" i="24"/>
  <c r="B9" i="24"/>
  <c r="B10" i="24"/>
  <c r="B11" i="24"/>
  <c r="B12" i="24"/>
  <c r="B13" i="24"/>
  <c r="B14" i="24"/>
  <c r="B15" i="24"/>
  <c r="C8" i="22"/>
  <c r="C7" i="25" l="1"/>
  <c r="E13" i="37" l="1"/>
  <c r="C20" i="36" l="1"/>
  <c r="D20" i="36" s="1"/>
  <c r="C19" i="36"/>
  <c r="D19" i="36" s="1"/>
  <c r="C18" i="36"/>
  <c r="D18" i="36" s="1"/>
  <c r="C17" i="36"/>
  <c r="D17" i="36" s="1"/>
  <c r="C16" i="36"/>
  <c r="D16" i="36" s="1"/>
  <c r="C15" i="36"/>
  <c r="D15" i="36" s="1"/>
  <c r="C14" i="36"/>
  <c r="D14" i="36" s="1"/>
  <c r="C13" i="36"/>
  <c r="D13" i="36" s="1"/>
  <c r="C12" i="36"/>
  <c r="D12" i="36" s="1"/>
  <c r="C11" i="36"/>
  <c r="D11" i="36" s="1"/>
  <c r="C10" i="36"/>
  <c r="D10" i="36" s="1"/>
  <c r="C9" i="36"/>
  <c r="D9" i="36" s="1"/>
  <c r="C8" i="36"/>
  <c r="D8" i="36" s="1"/>
  <c r="C7" i="36"/>
  <c r="D7" i="36" s="1"/>
  <c r="C6" i="36"/>
  <c r="D6" i="36" s="1"/>
  <c r="C5" i="36"/>
  <c r="D5" i="36" s="1"/>
  <c r="C4" i="36"/>
  <c r="D4" i="36" s="1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3" i="35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4" i="28"/>
  <c r="C5" i="28"/>
  <c r="C6" i="28"/>
  <c r="C7" i="28"/>
  <c r="C8" i="28"/>
  <c r="C9" i="28"/>
  <c r="C10" i="28"/>
  <c r="C11" i="28"/>
  <c r="C12" i="28"/>
  <c r="C13" i="28"/>
  <c r="C14" i="28"/>
  <c r="C4" i="27"/>
  <c r="C5" i="27"/>
  <c r="C6" i="27"/>
  <c r="C7" i="27"/>
  <c r="C8" i="27"/>
  <c r="C9" i="27"/>
  <c r="C10" i="27"/>
  <c r="C11" i="27"/>
  <c r="C12" i="27"/>
  <c r="C13" i="27"/>
  <c r="C14" i="27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4" i="26"/>
  <c r="B5" i="23"/>
  <c r="C5" i="23" s="1"/>
  <c r="B6" i="23"/>
  <c r="C6" i="23" s="1"/>
  <c r="B7" i="23"/>
  <c r="C7" i="23" s="1"/>
  <c r="B8" i="23"/>
  <c r="C8" i="23" s="1"/>
  <c r="B9" i="23"/>
  <c r="C9" i="23" s="1"/>
  <c r="B10" i="23"/>
  <c r="C10" i="23" s="1"/>
  <c r="B11" i="23"/>
  <c r="C11" i="23" s="1"/>
  <c r="B12" i="23"/>
  <c r="C12" i="23" s="1"/>
  <c r="B13" i="23"/>
  <c r="C13" i="23" s="1"/>
  <c r="B14" i="23"/>
  <c r="C14" i="23" s="1"/>
  <c r="B15" i="23"/>
  <c r="C15" i="23" s="1"/>
  <c r="B4" i="23"/>
  <c r="C4" i="23" s="1"/>
  <c r="C9" i="22"/>
  <c r="C7" i="22"/>
  <c r="C6" i="22"/>
  <c r="C5" i="22"/>
  <c r="C5" i="17"/>
  <c r="E4" i="34" l="1"/>
  <c r="E5" i="34"/>
  <c r="E6" i="34"/>
  <c r="E7" i="34"/>
  <c r="F7" i="34"/>
  <c r="F6" i="34"/>
  <c r="F5" i="34"/>
  <c r="F4" i="34"/>
  <c r="D19" i="33"/>
  <c r="D17" i="33"/>
  <c r="D15" i="33"/>
  <c r="D13" i="33"/>
  <c r="D11" i="33"/>
  <c r="D9" i="33"/>
  <c r="D7" i="33"/>
  <c r="D20" i="33"/>
  <c r="D18" i="33"/>
  <c r="D16" i="33"/>
  <c r="D14" i="33"/>
  <c r="D12" i="33"/>
  <c r="D10" i="33"/>
  <c r="D8" i="33"/>
  <c r="D6" i="33"/>
  <c r="C7" i="32"/>
  <c r="C6" i="32"/>
</calcChain>
</file>

<file path=xl/sharedStrings.xml><?xml version="1.0" encoding="utf-8"?>
<sst xmlns="http://schemas.openxmlformats.org/spreadsheetml/2006/main" count="67" uniqueCount="53">
  <si>
    <t>Date of Birth</t>
  </si>
  <si>
    <t>Age</t>
  </si>
  <si>
    <t>Returns</t>
  </si>
  <si>
    <t>"y"</t>
  </si>
  <si>
    <t>The number of complete years in the period.</t>
  </si>
  <si>
    <t>"m"</t>
  </si>
  <si>
    <t>The number of complete months in the period.</t>
  </si>
  <si>
    <t>"d"</t>
  </si>
  <si>
    <t>The number of days in the period.</t>
  </si>
  <si>
    <t>"md"</t>
  </si>
  <si>
    <t>The difference between the days in start_date and end_date. The months and years of the dates are ignored.</t>
  </si>
  <si>
    <t>"ym"</t>
  </si>
  <si>
    <t>The difference between the months in start_date and end_date. The days and years of the dates are ignored.</t>
  </si>
  <si>
    <t>"yd"</t>
  </si>
  <si>
    <t>The difference between the days of start_date and end_date. The years of the dates are ignored.</t>
  </si>
  <si>
    <t>Unit Code For DATEIF</t>
  </si>
  <si>
    <t>Days Outstanding</t>
  </si>
  <si>
    <t>Invoice Date</t>
  </si>
  <si>
    <t>Start Date</t>
  </si>
  <si>
    <t>End Date</t>
  </si>
  <si>
    <t>Net Work Days</t>
  </si>
  <si>
    <t>Holidays</t>
  </si>
  <si>
    <t>Number of Years and Months</t>
  </si>
  <si>
    <t>Standard Date</t>
  </si>
  <si>
    <t>Julian Date</t>
  </si>
  <si>
    <t>Pcnt of this Year Complete</t>
  </si>
  <si>
    <t>Percent of this Year Left</t>
  </si>
  <si>
    <t>First Day of February</t>
  </si>
  <si>
    <t>Last Day of February</t>
  </si>
  <si>
    <t>Date</t>
  </si>
  <si>
    <t>Calendar Quarter</t>
  </si>
  <si>
    <r>
      <t xml:space="preserve">Fiscal Quarter
</t>
    </r>
    <r>
      <rPr>
        <b/>
        <sz val="10"/>
        <color rgb="FF3F3F3F"/>
        <rFont val="Calibri"/>
        <family val="2"/>
        <scheme val="minor"/>
      </rPr>
      <t>(Fiscal Year Starts in April)</t>
    </r>
  </si>
  <si>
    <r>
      <t xml:space="preserve">Fiscal Month
</t>
    </r>
    <r>
      <rPr>
        <b/>
        <sz val="10"/>
        <color rgb="FF3F3F3F"/>
        <rFont val="Calibri"/>
        <family val="2"/>
        <scheme val="minor"/>
      </rPr>
      <t>(Starts on the 21st and ends on the 20th of the Next Month)</t>
    </r>
  </si>
  <si>
    <t>Start Time</t>
  </si>
  <si>
    <t>End Time</t>
  </si>
  <si>
    <t>Elapsed Minutes:Seconds</t>
  </si>
  <si>
    <t>Decimal Hours</t>
  </si>
  <si>
    <t>Decimal Minutes</t>
  </si>
  <si>
    <t>Decimal Seconds</t>
  </si>
  <si>
    <t>Minutes:Seconds</t>
  </si>
  <si>
    <t>End time if working 5 hours and 30 minutes</t>
  </si>
  <si>
    <t>Round Up to Nearest 15 Minutes</t>
  </si>
  <si>
    <t>Round Down to Nearest 30 minutes</t>
  </si>
  <si>
    <t>=YEAR(C3)</t>
  </si>
  <si>
    <t>=MONTH(C3)</t>
  </si>
  <si>
    <t>=DAY(C3)</t>
  </si>
  <si>
    <t>=WEEKDAY(C3)</t>
  </si>
  <si>
    <t>=WEEKNUM(C3)</t>
  </si>
  <si>
    <t>=MINUTE(C3)</t>
  </si>
  <si>
    <t>=SECOND(C3)</t>
  </si>
  <si>
    <t>=HOUR(C3)</t>
  </si>
  <si>
    <t>Hours:Minutes</t>
  </si>
  <si>
    <t>Today is August 13,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</si>
</sst>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[$-F400]h:mm:ss\ AM/PM"/>
    <numFmt numFmtId="166" formatCode="h:mm;@"/>
    <numFmt numFmtId="167" formatCode="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indexed="8"/>
      <name val="Arial"/>
      <family val="2"/>
    </font>
    <font>
      <sz val="10"/>
      <color rgb="FF3E3E3E"/>
      <name val="Tahoma"/>
      <family val="2"/>
    </font>
    <font>
      <b/>
      <sz val="10"/>
      <color rgb="FF3F3F3F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/>
  </cellStyleXfs>
  <cellXfs count="41">
    <xf numFmtId="0" fontId="0" fillId="0" borderId="0" xfId="0"/>
    <xf numFmtId="14" fontId="0" fillId="0" borderId="0" xfId="0" applyNumberFormat="1"/>
    <xf numFmtId="0" fontId="2" fillId="2" borderId="1" xfId="2"/>
    <xf numFmtId="0" fontId="2" fillId="2" borderId="1" xfId="2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2" fillId="2" borderId="1" xfId="2" applyNumberFormat="1"/>
    <xf numFmtId="0" fontId="4" fillId="0" borderId="0" xfId="0" applyFont="1"/>
    <xf numFmtId="2" fontId="0" fillId="0" borderId="0" xfId="0" applyNumberFormat="1"/>
    <xf numFmtId="9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1" xfId="2" applyAlignment="1">
      <alignment horizontal="center" wrapText="1"/>
    </xf>
    <xf numFmtId="0" fontId="0" fillId="0" borderId="3" xfId="0" applyBorder="1" applyAlignment="1">
      <alignment horizontal="center"/>
    </xf>
    <xf numFmtId="165" fontId="6" fillId="0" borderId="0" xfId="0" applyNumberFormat="1" applyFont="1"/>
    <xf numFmtId="2" fontId="2" fillId="2" borderId="1" xfId="2" applyNumberFormat="1" applyAlignment="1">
      <alignment horizontal="center"/>
    </xf>
    <xf numFmtId="20" fontId="6" fillId="0" borderId="0" xfId="0" applyNumberFormat="1" applyFont="1" applyAlignment="1">
      <alignment horizontal="center"/>
    </xf>
    <xf numFmtId="166" fontId="0" fillId="0" borderId="0" xfId="0" applyNumberFormat="1"/>
    <xf numFmtId="165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2" fillId="2" borderId="3" xfId="2" applyNumberFormat="1" applyBorder="1" applyAlignment="1">
      <alignment horizontal="center" wrapText="1"/>
    </xf>
    <xf numFmtId="0" fontId="2" fillId="2" borderId="3" xfId="2" applyBorder="1" applyAlignment="1">
      <alignment horizontal="center" wrapText="1"/>
    </xf>
    <xf numFmtId="20" fontId="6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" fontId="0" fillId="0" borderId="0" xfId="0" applyNumberFormat="1"/>
    <xf numFmtId="14" fontId="0" fillId="4" borderId="3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center"/>
    </xf>
    <xf numFmtId="0" fontId="2" fillId="2" borderId="1" xfId="2" applyAlignment="1">
      <alignment horizontal="right"/>
    </xf>
    <xf numFmtId="14" fontId="0" fillId="0" borderId="0" xfId="0" applyNumberFormat="1" applyAlignment="1">
      <alignment horizontal="right"/>
    </xf>
    <xf numFmtId="0" fontId="2" fillId="3" borderId="1" xfId="2" applyFill="1" applyAlignment="1">
      <alignment horizontal="center"/>
    </xf>
    <xf numFmtId="19" fontId="2" fillId="3" borderId="1" xfId="2" applyNumberFormat="1" applyFill="1" applyAlignment="1">
      <alignment horizontal="center"/>
    </xf>
    <xf numFmtId="18" fontId="0" fillId="0" borderId="0" xfId="0" applyNumberFormat="1"/>
    <xf numFmtId="0" fontId="7" fillId="0" borderId="0" xfId="0" applyFont="1"/>
    <xf numFmtId="0" fontId="5" fillId="2" borderId="1" xfId="2" applyFont="1" applyAlignment="1">
      <alignment horizontal="center"/>
    </xf>
    <xf numFmtId="164" fontId="8" fillId="0" borderId="2" xfId="3" applyNumberFormat="1" applyFont="1" applyBorder="1" applyAlignment="1">
      <alignment horizontal="right" wrapText="1"/>
    </xf>
    <xf numFmtId="0" fontId="7" fillId="0" borderId="0" xfId="0" applyFont="1" applyAlignment="1">
      <alignment horizontal="center"/>
    </xf>
    <xf numFmtId="14" fontId="9" fillId="0" borderId="0" xfId="0" applyNumberFormat="1" applyFont="1" applyAlignment="1">
      <alignment vertical="center"/>
    </xf>
    <xf numFmtId="10" fontId="0" fillId="0" borderId="0" xfId="0" applyNumberFormat="1"/>
    <xf numFmtId="167" fontId="0" fillId="0" borderId="0" xfId="0" applyNumberFormat="1"/>
  </cellXfs>
  <cellStyles count="4">
    <cellStyle name="Normal" xfId="0" builtinId="0"/>
    <cellStyle name="Normal_26" xfId="3" xr:uid="{00000000-0005-0000-0000-000001000000}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2"/>
  <sheetViews>
    <sheetView workbookViewId="0">
      <selection activeCell="G14" sqref="G14"/>
    </sheetView>
  </sheetViews>
  <sheetFormatPr defaultRowHeight="14.4"/>
  <cols>
    <col min="3" max="3" width="28.88671875" bestFit="1" customWidth="1"/>
    <col min="6" max="6" width="16.88671875" bestFit="1" customWidth="1"/>
  </cols>
  <sheetData>
    <row r="3" spans="3:6">
      <c r="C3" t="str">
        <f ca="1">"Today is "&amp;TEXT(TODAY(),"dddd mmmm d,  yyyy")</f>
        <v>Today is Friday April 3,  2026</v>
      </c>
      <c r="F3" s="1">
        <f ca="1">TODAY()+2</f>
        <v>46117</v>
      </c>
    </row>
    <row r="4" spans="3:6">
      <c r="F4" s="33"/>
    </row>
    <row r="5" spans="3:6">
      <c r="C5" t="str">
        <f ca="1">"Today is "&amp;TEXT(TODAY(),"mmmm d, yyyy")</f>
        <v>Today is April 3, 2026</v>
      </c>
      <c r="F5" t="str">
        <f ca="1">TEXT(TODAY(),"dddd mmmm d,  yyyy")</f>
        <v>Friday April 3,  2026</v>
      </c>
    </row>
    <row r="7" spans="3:6">
      <c r="C7" t="str">
        <f ca="1">"Tomorrow is "&amp;TEXT(TODAY()+1,"dddd mmmm d,  yyyy")</f>
        <v>Tomorrow is Saturday April 4,  2026</v>
      </c>
    </row>
    <row r="12" spans="3:6">
      <c r="C12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3"/>
  <sheetViews>
    <sheetView tabSelected="1" workbookViewId="0">
      <selection activeCell="C8" sqref="C8"/>
    </sheetView>
  </sheetViews>
  <sheetFormatPr defaultRowHeight="14.4"/>
  <cols>
    <col min="2" max="2" width="12.109375" bestFit="1" customWidth="1"/>
    <col min="3" max="3" width="11.109375" customWidth="1"/>
    <col min="4" max="4" width="9.6640625" bestFit="1" customWidth="1"/>
    <col min="5" max="5" width="20" bestFit="1" customWidth="1"/>
    <col min="6" max="6" width="99.88671875" bestFit="1" customWidth="1"/>
  </cols>
  <sheetData>
    <row r="3" spans="2:6">
      <c r="B3" s="3" t="s">
        <v>0</v>
      </c>
      <c r="C3" s="3" t="s">
        <v>1</v>
      </c>
      <c r="E3" s="2" t="s">
        <v>15</v>
      </c>
      <c r="F3" s="2" t="s">
        <v>2</v>
      </c>
    </row>
    <row r="4" spans="2:6">
      <c r="B4" s="4">
        <v>26435</v>
      </c>
      <c r="C4" s="5">
        <f ca="1">DATEDIF(B4,TODAY(),"y")</f>
        <v>53</v>
      </c>
      <c r="E4" t="s">
        <v>3</v>
      </c>
      <c r="F4" t="s">
        <v>4</v>
      </c>
    </row>
    <row r="5" spans="2:6">
      <c r="C5">
        <f ca="1">DATEDIF(B4,TODAY(),"d")</f>
        <v>19680</v>
      </c>
      <c r="E5" t="s">
        <v>5</v>
      </c>
      <c r="F5" t="s">
        <v>6</v>
      </c>
    </row>
    <row r="6" spans="2:6">
      <c r="E6" t="s">
        <v>7</v>
      </c>
      <c r="F6" t="s">
        <v>8</v>
      </c>
    </row>
    <row r="7" spans="2:6">
      <c r="C7">
        <f ca="1">DATEDIF(B4,TODAY(),"m")</f>
        <v>646</v>
      </c>
      <c r="E7" t="s">
        <v>9</v>
      </c>
      <c r="F7" t="s">
        <v>10</v>
      </c>
    </row>
    <row r="8" spans="2:6">
      <c r="E8" t="s">
        <v>11</v>
      </c>
      <c r="F8" t="s">
        <v>12</v>
      </c>
    </row>
    <row r="9" spans="2:6">
      <c r="E9" t="s">
        <v>13</v>
      </c>
      <c r="F9" t="s">
        <v>14</v>
      </c>
    </row>
    <row r="13" spans="2:6">
      <c r="E13" s="25">
        <f ca="1">DATEDIF("5/16/1972",TODAY(),"y")</f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D9"/>
  <sheetViews>
    <sheetView zoomScale="130" zoomScaleNormal="130" workbookViewId="0"/>
  </sheetViews>
  <sheetFormatPr defaultRowHeight="13.8"/>
  <cols>
    <col min="1" max="2" width="3.5546875" style="34" customWidth="1"/>
    <col min="3" max="3" width="10.88671875" style="34" bestFit="1" customWidth="1"/>
    <col min="4" max="4" width="37.109375" style="34" customWidth="1"/>
    <col min="5" max="16384" width="8.88671875" style="34"/>
  </cols>
  <sheetData>
    <row r="3" spans="3:4">
      <c r="C3" s="35" t="s">
        <v>17</v>
      </c>
      <c r="D3" s="35" t="s">
        <v>16</v>
      </c>
    </row>
    <row r="4" spans="3:4">
      <c r="C4" s="36">
        <v>45498</v>
      </c>
      <c r="D4" s="37">
        <f ca="1">DATEDIF(C4,TODAY(),"d")</f>
        <v>617</v>
      </c>
    </row>
    <row r="5" spans="3:4">
      <c r="C5" s="36">
        <v>45477</v>
      </c>
      <c r="D5" s="37">
        <f t="shared" ref="D5:D6" ca="1" si="0">DATEDIF(C5,TODAY(),"d")</f>
        <v>638</v>
      </c>
    </row>
    <row r="6" spans="3:4">
      <c r="C6" s="36">
        <v>45416</v>
      </c>
      <c r="D6" s="37">
        <f t="shared" ca="1" si="0"/>
        <v>699</v>
      </c>
    </row>
    <row r="7" spans="3:4">
      <c r="C7" s="36">
        <v>45434</v>
      </c>
      <c r="D7" s="37">
        <f ca="1">DATEDIF(C7,TODAY(),"d")</f>
        <v>681</v>
      </c>
    </row>
    <row r="8" spans="3:4">
      <c r="C8" s="36">
        <v>45385</v>
      </c>
      <c r="D8" s="37">
        <f ca="1">DATEDIF(C8,TODAY(),"d")</f>
        <v>730</v>
      </c>
    </row>
    <row r="9" spans="3:4">
      <c r="C9" s="36">
        <v>45410</v>
      </c>
      <c r="D9" s="37">
        <f ca="1">DATEDIF(C9,TODAY(),"d")</f>
        <v>705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E4"/>
  <sheetViews>
    <sheetView zoomScale="115" zoomScaleNormal="115" workbookViewId="0"/>
  </sheetViews>
  <sheetFormatPr defaultRowHeight="14.4"/>
  <cols>
    <col min="2" max="3" width="12.88671875" customWidth="1"/>
    <col min="4" max="4" width="4.5546875" customWidth="1"/>
    <col min="5" max="5" width="26.6640625" customWidth="1"/>
  </cols>
  <sheetData>
    <row r="3" spans="2:5">
      <c r="B3" s="2" t="s">
        <v>18</v>
      </c>
      <c r="C3" s="2" t="s">
        <v>19</v>
      </c>
      <c r="E3" s="2" t="s">
        <v>20</v>
      </c>
    </row>
    <row r="4" spans="2:5">
      <c r="B4" s="4">
        <v>45292</v>
      </c>
      <c r="C4" s="4">
        <v>45657</v>
      </c>
      <c r="E4" s="5">
        <f>NETWORKDAYS(B4,C4)</f>
        <v>262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F4"/>
  <sheetViews>
    <sheetView zoomScale="115" zoomScaleNormal="115" workbookViewId="0"/>
  </sheetViews>
  <sheetFormatPr defaultRowHeight="14.4"/>
  <cols>
    <col min="1" max="2" width="3.44140625" customWidth="1"/>
    <col min="3" max="4" width="12.88671875" customWidth="1"/>
    <col min="5" max="5" width="3.6640625" customWidth="1"/>
    <col min="6" max="7" width="29.88671875" customWidth="1"/>
  </cols>
  <sheetData>
    <row r="3" spans="3:6">
      <c r="C3" s="2" t="s">
        <v>18</v>
      </c>
      <c r="D3" s="2" t="s">
        <v>19</v>
      </c>
      <c r="F3" s="2" t="s">
        <v>20</v>
      </c>
    </row>
    <row r="4" spans="3:6">
      <c r="C4" s="4">
        <v>45292</v>
      </c>
      <c r="D4" s="4">
        <v>45657</v>
      </c>
      <c r="F4" s="5">
        <f>NETWORKDAYS.INTL(C4,D4,11)</f>
        <v>314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E265"/>
  <sheetViews>
    <sheetView zoomScale="115" zoomScaleNormal="115" workbookViewId="0"/>
  </sheetViews>
  <sheetFormatPr defaultRowHeight="14.4"/>
  <cols>
    <col min="1" max="1" width="5" customWidth="1"/>
    <col min="2" max="2" width="33" customWidth="1"/>
    <col min="3" max="3" width="9.77734375" customWidth="1"/>
    <col min="4" max="4" width="10.88671875" bestFit="1" customWidth="1"/>
    <col min="5" max="5" width="14.33203125" bestFit="1" customWidth="1"/>
  </cols>
  <sheetData>
    <row r="3" spans="2:4">
      <c r="B3" s="26">
        <v>45657</v>
      </c>
      <c r="D3" s="2" t="s">
        <v>21</v>
      </c>
    </row>
    <row r="4" spans="2:4">
      <c r="B4" s="4">
        <f>WORKDAY.INTL(B3,1,1,$D$4:$D$14)</f>
        <v>45659</v>
      </c>
      <c r="D4" s="1">
        <v>45658</v>
      </c>
    </row>
    <row r="5" spans="2:4">
      <c r="B5" s="4">
        <f t="shared" ref="B5:B67" si="0">WORKDAY.INTL(B4,1,1,$D$4:$D$14)</f>
        <v>45660</v>
      </c>
      <c r="D5" s="1">
        <v>45674</v>
      </c>
    </row>
    <row r="6" spans="2:4">
      <c r="B6" s="4">
        <f t="shared" si="0"/>
        <v>45663</v>
      </c>
      <c r="D6" s="1">
        <v>45733</v>
      </c>
    </row>
    <row r="7" spans="2:4">
      <c r="B7" s="4">
        <f t="shared" si="0"/>
        <v>45664</v>
      </c>
      <c r="D7" s="1">
        <v>45807</v>
      </c>
    </row>
    <row r="8" spans="2:4">
      <c r="B8" s="4">
        <f t="shared" si="0"/>
        <v>45665</v>
      </c>
      <c r="D8" s="1">
        <v>45842</v>
      </c>
    </row>
    <row r="9" spans="2:4">
      <c r="B9" s="4">
        <f t="shared" si="0"/>
        <v>45666</v>
      </c>
      <c r="D9" s="1">
        <v>45901</v>
      </c>
    </row>
    <row r="10" spans="2:4">
      <c r="B10" s="4">
        <f t="shared" si="0"/>
        <v>45667</v>
      </c>
      <c r="D10" s="1">
        <v>45940</v>
      </c>
    </row>
    <row r="11" spans="2:4">
      <c r="B11" s="4">
        <f t="shared" si="0"/>
        <v>45670</v>
      </c>
      <c r="D11" s="1">
        <v>45985</v>
      </c>
    </row>
    <row r="12" spans="2:4">
      <c r="B12" s="4">
        <f t="shared" si="0"/>
        <v>45671</v>
      </c>
      <c r="D12" s="1">
        <v>46015</v>
      </c>
    </row>
    <row r="13" spans="2:4">
      <c r="B13" s="4">
        <f t="shared" si="0"/>
        <v>45672</v>
      </c>
      <c r="D13" s="1">
        <v>46016</v>
      </c>
    </row>
    <row r="14" spans="2:4">
      <c r="B14" s="4">
        <f t="shared" si="0"/>
        <v>45673</v>
      </c>
      <c r="D14" s="1">
        <v>46022</v>
      </c>
    </row>
    <row r="15" spans="2:4">
      <c r="B15" s="4">
        <f t="shared" si="0"/>
        <v>45677</v>
      </c>
    </row>
    <row r="16" spans="2:4">
      <c r="B16" s="4">
        <f t="shared" si="0"/>
        <v>45678</v>
      </c>
    </row>
    <row r="17" spans="2:5">
      <c r="B17" s="4">
        <f t="shared" si="0"/>
        <v>45679</v>
      </c>
      <c r="E17" s="1"/>
    </row>
    <row r="18" spans="2:5">
      <c r="B18" s="4">
        <f t="shared" si="0"/>
        <v>45680</v>
      </c>
    </row>
    <row r="19" spans="2:5">
      <c r="B19" s="4">
        <f t="shared" si="0"/>
        <v>45681</v>
      </c>
    </row>
    <row r="20" spans="2:5">
      <c r="B20" s="4">
        <f t="shared" si="0"/>
        <v>45684</v>
      </c>
    </row>
    <row r="21" spans="2:5">
      <c r="B21" s="4">
        <f t="shared" si="0"/>
        <v>45685</v>
      </c>
    </row>
    <row r="22" spans="2:5">
      <c r="B22" s="4">
        <f t="shared" si="0"/>
        <v>45686</v>
      </c>
    </row>
    <row r="23" spans="2:5">
      <c r="B23" s="4">
        <f t="shared" si="0"/>
        <v>45687</v>
      </c>
    </row>
    <row r="24" spans="2:5">
      <c r="B24" s="4">
        <f t="shared" si="0"/>
        <v>45688</v>
      </c>
    </row>
    <row r="25" spans="2:5">
      <c r="B25" s="4">
        <f t="shared" si="0"/>
        <v>45691</v>
      </c>
    </row>
    <row r="26" spans="2:5">
      <c r="B26" s="4">
        <f t="shared" si="0"/>
        <v>45692</v>
      </c>
    </row>
    <row r="27" spans="2:5">
      <c r="B27" s="4">
        <f t="shared" si="0"/>
        <v>45693</v>
      </c>
    </row>
    <row r="28" spans="2:5">
      <c r="B28" s="4">
        <f t="shared" si="0"/>
        <v>45694</v>
      </c>
    </row>
    <row r="29" spans="2:5">
      <c r="B29" s="4">
        <f t="shared" si="0"/>
        <v>45695</v>
      </c>
    </row>
    <row r="30" spans="2:5">
      <c r="B30" s="4">
        <f t="shared" si="0"/>
        <v>45698</v>
      </c>
    </row>
    <row r="31" spans="2:5">
      <c r="B31" s="4">
        <f t="shared" si="0"/>
        <v>45699</v>
      </c>
    </row>
    <row r="32" spans="2:5">
      <c r="B32" s="4">
        <f t="shared" si="0"/>
        <v>45700</v>
      </c>
    </row>
    <row r="33" spans="2:2">
      <c r="B33" s="4">
        <f t="shared" si="0"/>
        <v>45701</v>
      </c>
    </row>
    <row r="34" spans="2:2">
      <c r="B34" s="4">
        <f t="shared" si="0"/>
        <v>45702</v>
      </c>
    </row>
    <row r="35" spans="2:2">
      <c r="B35" s="4">
        <f t="shared" si="0"/>
        <v>45705</v>
      </c>
    </row>
    <row r="36" spans="2:2">
      <c r="B36" s="4">
        <f t="shared" si="0"/>
        <v>45706</v>
      </c>
    </row>
    <row r="37" spans="2:2">
      <c r="B37" s="4">
        <f t="shared" si="0"/>
        <v>45707</v>
      </c>
    </row>
    <row r="38" spans="2:2">
      <c r="B38" s="4">
        <f t="shared" si="0"/>
        <v>45708</v>
      </c>
    </row>
    <row r="39" spans="2:2">
      <c r="B39" s="4">
        <f t="shared" si="0"/>
        <v>45709</v>
      </c>
    </row>
    <row r="40" spans="2:2">
      <c r="B40" s="4">
        <f t="shared" si="0"/>
        <v>45712</v>
      </c>
    </row>
    <row r="41" spans="2:2">
      <c r="B41" s="4">
        <f t="shared" si="0"/>
        <v>45713</v>
      </c>
    </row>
    <row r="42" spans="2:2">
      <c r="B42" s="4">
        <f t="shared" si="0"/>
        <v>45714</v>
      </c>
    </row>
    <row r="43" spans="2:2">
      <c r="B43" s="4">
        <f t="shared" si="0"/>
        <v>45715</v>
      </c>
    </row>
    <row r="44" spans="2:2">
      <c r="B44" s="4">
        <f t="shared" si="0"/>
        <v>45716</v>
      </c>
    </row>
    <row r="45" spans="2:2">
      <c r="B45" s="4">
        <f t="shared" si="0"/>
        <v>45719</v>
      </c>
    </row>
    <row r="46" spans="2:2">
      <c r="B46" s="4">
        <f t="shared" si="0"/>
        <v>45720</v>
      </c>
    </row>
    <row r="47" spans="2:2">
      <c r="B47" s="4">
        <f t="shared" si="0"/>
        <v>45721</v>
      </c>
    </row>
    <row r="48" spans="2:2">
      <c r="B48" s="4">
        <f t="shared" si="0"/>
        <v>45722</v>
      </c>
    </row>
    <row r="49" spans="2:2">
      <c r="B49" s="4">
        <f t="shared" si="0"/>
        <v>45723</v>
      </c>
    </row>
    <row r="50" spans="2:2">
      <c r="B50" s="4">
        <f t="shared" si="0"/>
        <v>45726</v>
      </c>
    </row>
    <row r="51" spans="2:2">
      <c r="B51" s="4">
        <f t="shared" si="0"/>
        <v>45727</v>
      </c>
    </row>
    <row r="52" spans="2:2">
      <c r="B52" s="4">
        <f t="shared" si="0"/>
        <v>45728</v>
      </c>
    </row>
    <row r="53" spans="2:2">
      <c r="B53" s="4">
        <f t="shared" si="0"/>
        <v>45729</v>
      </c>
    </row>
    <row r="54" spans="2:2">
      <c r="B54" s="4">
        <f t="shared" si="0"/>
        <v>45730</v>
      </c>
    </row>
    <row r="55" spans="2:2">
      <c r="B55" s="4">
        <f t="shared" si="0"/>
        <v>45734</v>
      </c>
    </row>
    <row r="56" spans="2:2">
      <c r="B56" s="4">
        <f t="shared" si="0"/>
        <v>45735</v>
      </c>
    </row>
    <row r="57" spans="2:2">
      <c r="B57" s="4">
        <f t="shared" si="0"/>
        <v>45736</v>
      </c>
    </row>
    <row r="58" spans="2:2">
      <c r="B58" s="4">
        <f t="shared" si="0"/>
        <v>45737</v>
      </c>
    </row>
    <row r="59" spans="2:2">
      <c r="B59" s="4">
        <f t="shared" si="0"/>
        <v>45740</v>
      </c>
    </row>
    <row r="60" spans="2:2">
      <c r="B60" s="4">
        <f t="shared" si="0"/>
        <v>45741</v>
      </c>
    </row>
    <row r="61" spans="2:2">
      <c r="B61" s="4">
        <f t="shared" si="0"/>
        <v>45742</v>
      </c>
    </row>
    <row r="62" spans="2:2">
      <c r="B62" s="4">
        <f t="shared" si="0"/>
        <v>45743</v>
      </c>
    </row>
    <row r="63" spans="2:2">
      <c r="B63" s="4">
        <f t="shared" si="0"/>
        <v>45744</v>
      </c>
    </row>
    <row r="64" spans="2:2">
      <c r="B64" s="4">
        <f t="shared" si="0"/>
        <v>45747</v>
      </c>
    </row>
    <row r="65" spans="2:2">
      <c r="B65" s="4">
        <f t="shared" si="0"/>
        <v>45748</v>
      </c>
    </row>
    <row r="66" spans="2:2">
      <c r="B66" s="4">
        <f t="shared" si="0"/>
        <v>45749</v>
      </c>
    </row>
    <row r="67" spans="2:2">
      <c r="B67" s="4">
        <f t="shared" si="0"/>
        <v>45750</v>
      </c>
    </row>
    <row r="68" spans="2:2">
      <c r="B68" s="4">
        <f t="shared" ref="B68:B131" si="1">WORKDAY.INTL(B67,1,1,$D$4:$D$14)</f>
        <v>45751</v>
      </c>
    </row>
    <row r="69" spans="2:2">
      <c r="B69" s="4">
        <f t="shared" si="1"/>
        <v>45754</v>
      </c>
    </row>
    <row r="70" spans="2:2">
      <c r="B70" s="4">
        <f t="shared" si="1"/>
        <v>45755</v>
      </c>
    </row>
    <row r="71" spans="2:2">
      <c r="B71" s="4">
        <f t="shared" si="1"/>
        <v>45756</v>
      </c>
    </row>
    <row r="72" spans="2:2">
      <c r="B72" s="4">
        <f t="shared" si="1"/>
        <v>45757</v>
      </c>
    </row>
    <row r="73" spans="2:2">
      <c r="B73" s="4">
        <f t="shared" si="1"/>
        <v>45758</v>
      </c>
    </row>
    <row r="74" spans="2:2">
      <c r="B74" s="4">
        <f t="shared" si="1"/>
        <v>45761</v>
      </c>
    </row>
    <row r="75" spans="2:2">
      <c r="B75" s="4">
        <f t="shared" si="1"/>
        <v>45762</v>
      </c>
    </row>
    <row r="76" spans="2:2">
      <c r="B76" s="4">
        <f t="shared" si="1"/>
        <v>45763</v>
      </c>
    </row>
    <row r="77" spans="2:2">
      <c r="B77" s="4">
        <f t="shared" si="1"/>
        <v>45764</v>
      </c>
    </row>
    <row r="78" spans="2:2">
      <c r="B78" s="4">
        <f t="shared" si="1"/>
        <v>45765</v>
      </c>
    </row>
    <row r="79" spans="2:2">
      <c r="B79" s="4">
        <f t="shared" si="1"/>
        <v>45768</v>
      </c>
    </row>
    <row r="80" spans="2:2">
      <c r="B80" s="4">
        <f t="shared" si="1"/>
        <v>45769</v>
      </c>
    </row>
    <row r="81" spans="2:2">
      <c r="B81" s="4">
        <f t="shared" si="1"/>
        <v>45770</v>
      </c>
    </row>
    <row r="82" spans="2:2">
      <c r="B82" s="4">
        <f t="shared" si="1"/>
        <v>45771</v>
      </c>
    </row>
    <row r="83" spans="2:2">
      <c r="B83" s="4">
        <f t="shared" si="1"/>
        <v>45772</v>
      </c>
    </row>
    <row r="84" spans="2:2">
      <c r="B84" s="4">
        <f t="shared" si="1"/>
        <v>45775</v>
      </c>
    </row>
    <row r="85" spans="2:2">
      <c r="B85" s="4">
        <f t="shared" si="1"/>
        <v>45776</v>
      </c>
    </row>
    <row r="86" spans="2:2">
      <c r="B86" s="4">
        <f t="shared" si="1"/>
        <v>45777</v>
      </c>
    </row>
    <row r="87" spans="2:2">
      <c r="B87" s="4">
        <f t="shared" si="1"/>
        <v>45778</v>
      </c>
    </row>
    <row r="88" spans="2:2">
      <c r="B88" s="4">
        <f t="shared" si="1"/>
        <v>45779</v>
      </c>
    </row>
    <row r="89" spans="2:2">
      <c r="B89" s="4">
        <f t="shared" si="1"/>
        <v>45782</v>
      </c>
    </row>
    <row r="90" spans="2:2">
      <c r="B90" s="4">
        <f t="shared" si="1"/>
        <v>45783</v>
      </c>
    </row>
    <row r="91" spans="2:2">
      <c r="B91" s="4">
        <f t="shared" si="1"/>
        <v>45784</v>
      </c>
    </row>
    <row r="92" spans="2:2">
      <c r="B92" s="4">
        <f t="shared" si="1"/>
        <v>45785</v>
      </c>
    </row>
    <row r="93" spans="2:2">
      <c r="B93" s="4">
        <f t="shared" si="1"/>
        <v>45786</v>
      </c>
    </row>
    <row r="94" spans="2:2">
      <c r="B94" s="4">
        <f t="shared" si="1"/>
        <v>45789</v>
      </c>
    </row>
    <row r="95" spans="2:2">
      <c r="B95" s="4">
        <f t="shared" si="1"/>
        <v>45790</v>
      </c>
    </row>
    <row r="96" spans="2:2">
      <c r="B96" s="4">
        <f t="shared" si="1"/>
        <v>45791</v>
      </c>
    </row>
    <row r="97" spans="2:2">
      <c r="B97" s="4">
        <f t="shared" si="1"/>
        <v>45792</v>
      </c>
    </row>
    <row r="98" spans="2:2">
      <c r="B98" s="4">
        <f t="shared" si="1"/>
        <v>45793</v>
      </c>
    </row>
    <row r="99" spans="2:2">
      <c r="B99" s="4">
        <f t="shared" si="1"/>
        <v>45796</v>
      </c>
    </row>
    <row r="100" spans="2:2">
      <c r="B100" s="4">
        <f t="shared" si="1"/>
        <v>45797</v>
      </c>
    </row>
    <row r="101" spans="2:2">
      <c r="B101" s="4">
        <f t="shared" si="1"/>
        <v>45798</v>
      </c>
    </row>
    <row r="102" spans="2:2">
      <c r="B102" s="4">
        <f t="shared" si="1"/>
        <v>45799</v>
      </c>
    </row>
    <row r="103" spans="2:2">
      <c r="B103" s="4">
        <f t="shared" si="1"/>
        <v>45800</v>
      </c>
    </row>
    <row r="104" spans="2:2">
      <c r="B104" s="4">
        <f t="shared" si="1"/>
        <v>45803</v>
      </c>
    </row>
    <row r="105" spans="2:2">
      <c r="B105" s="4">
        <f t="shared" si="1"/>
        <v>45804</v>
      </c>
    </row>
    <row r="106" spans="2:2">
      <c r="B106" s="4">
        <f t="shared" si="1"/>
        <v>45805</v>
      </c>
    </row>
    <row r="107" spans="2:2">
      <c r="B107" s="4">
        <f t="shared" si="1"/>
        <v>45806</v>
      </c>
    </row>
    <row r="108" spans="2:2">
      <c r="B108" s="4">
        <f t="shared" si="1"/>
        <v>45810</v>
      </c>
    </row>
    <row r="109" spans="2:2">
      <c r="B109" s="4">
        <f t="shared" si="1"/>
        <v>45811</v>
      </c>
    </row>
    <row r="110" spans="2:2">
      <c r="B110" s="4">
        <f t="shared" si="1"/>
        <v>45812</v>
      </c>
    </row>
    <row r="111" spans="2:2">
      <c r="B111" s="4">
        <f t="shared" si="1"/>
        <v>45813</v>
      </c>
    </row>
    <row r="112" spans="2:2">
      <c r="B112" s="4">
        <f t="shared" si="1"/>
        <v>45814</v>
      </c>
    </row>
    <row r="113" spans="2:2">
      <c r="B113" s="4">
        <f t="shared" si="1"/>
        <v>45817</v>
      </c>
    </row>
    <row r="114" spans="2:2">
      <c r="B114" s="4">
        <f t="shared" si="1"/>
        <v>45818</v>
      </c>
    </row>
    <row r="115" spans="2:2">
      <c r="B115" s="4">
        <f t="shared" si="1"/>
        <v>45819</v>
      </c>
    </row>
    <row r="116" spans="2:2">
      <c r="B116" s="4">
        <f t="shared" si="1"/>
        <v>45820</v>
      </c>
    </row>
    <row r="117" spans="2:2">
      <c r="B117" s="4">
        <f t="shared" si="1"/>
        <v>45821</v>
      </c>
    </row>
    <row r="118" spans="2:2">
      <c r="B118" s="4">
        <f t="shared" si="1"/>
        <v>45824</v>
      </c>
    </row>
    <row r="119" spans="2:2">
      <c r="B119" s="4">
        <f t="shared" si="1"/>
        <v>45825</v>
      </c>
    </row>
    <row r="120" spans="2:2">
      <c r="B120" s="4">
        <f t="shared" si="1"/>
        <v>45826</v>
      </c>
    </row>
    <row r="121" spans="2:2">
      <c r="B121" s="4">
        <f t="shared" si="1"/>
        <v>45827</v>
      </c>
    </row>
    <row r="122" spans="2:2">
      <c r="B122" s="4">
        <f t="shared" si="1"/>
        <v>45828</v>
      </c>
    </row>
    <row r="123" spans="2:2">
      <c r="B123" s="4">
        <f t="shared" si="1"/>
        <v>45831</v>
      </c>
    </row>
    <row r="124" spans="2:2">
      <c r="B124" s="4">
        <f t="shared" si="1"/>
        <v>45832</v>
      </c>
    </row>
    <row r="125" spans="2:2">
      <c r="B125" s="4">
        <f t="shared" si="1"/>
        <v>45833</v>
      </c>
    </row>
    <row r="126" spans="2:2">
      <c r="B126" s="4">
        <f t="shared" si="1"/>
        <v>45834</v>
      </c>
    </row>
    <row r="127" spans="2:2">
      <c r="B127" s="4">
        <f t="shared" si="1"/>
        <v>45835</v>
      </c>
    </row>
    <row r="128" spans="2:2">
      <c r="B128" s="4">
        <f t="shared" si="1"/>
        <v>45838</v>
      </c>
    </row>
    <row r="129" spans="2:2">
      <c r="B129" s="4">
        <f t="shared" si="1"/>
        <v>45839</v>
      </c>
    </row>
    <row r="130" spans="2:2">
      <c r="B130" s="4">
        <f t="shared" si="1"/>
        <v>45840</v>
      </c>
    </row>
    <row r="131" spans="2:2">
      <c r="B131" s="4">
        <f t="shared" si="1"/>
        <v>45841</v>
      </c>
    </row>
    <row r="132" spans="2:2">
      <c r="B132" s="4">
        <f t="shared" ref="B132:B195" si="2">WORKDAY.INTL(B131,1,1,$D$4:$D$14)</f>
        <v>45845</v>
      </c>
    </row>
    <row r="133" spans="2:2">
      <c r="B133" s="4">
        <f t="shared" si="2"/>
        <v>45846</v>
      </c>
    </row>
    <row r="134" spans="2:2">
      <c r="B134" s="4">
        <f t="shared" si="2"/>
        <v>45847</v>
      </c>
    </row>
    <row r="135" spans="2:2">
      <c r="B135" s="4">
        <f t="shared" si="2"/>
        <v>45848</v>
      </c>
    </row>
    <row r="136" spans="2:2">
      <c r="B136" s="4">
        <f t="shared" si="2"/>
        <v>45849</v>
      </c>
    </row>
    <row r="137" spans="2:2">
      <c r="B137" s="4">
        <f t="shared" si="2"/>
        <v>45852</v>
      </c>
    </row>
    <row r="138" spans="2:2">
      <c r="B138" s="4">
        <f t="shared" si="2"/>
        <v>45853</v>
      </c>
    </row>
    <row r="139" spans="2:2">
      <c r="B139" s="4">
        <f t="shared" si="2"/>
        <v>45854</v>
      </c>
    </row>
    <row r="140" spans="2:2">
      <c r="B140" s="4">
        <f t="shared" si="2"/>
        <v>45855</v>
      </c>
    </row>
    <row r="141" spans="2:2">
      <c r="B141" s="4">
        <f t="shared" si="2"/>
        <v>45856</v>
      </c>
    </row>
    <row r="142" spans="2:2">
      <c r="B142" s="4">
        <f t="shared" si="2"/>
        <v>45859</v>
      </c>
    </row>
    <row r="143" spans="2:2">
      <c r="B143" s="4">
        <f t="shared" si="2"/>
        <v>45860</v>
      </c>
    </row>
    <row r="144" spans="2:2">
      <c r="B144" s="4">
        <f t="shared" si="2"/>
        <v>45861</v>
      </c>
    </row>
    <row r="145" spans="2:2">
      <c r="B145" s="4">
        <f t="shared" si="2"/>
        <v>45862</v>
      </c>
    </row>
    <row r="146" spans="2:2">
      <c r="B146" s="4">
        <f t="shared" si="2"/>
        <v>45863</v>
      </c>
    </row>
    <row r="147" spans="2:2">
      <c r="B147" s="4">
        <f t="shared" si="2"/>
        <v>45866</v>
      </c>
    </row>
    <row r="148" spans="2:2">
      <c r="B148" s="4">
        <f t="shared" si="2"/>
        <v>45867</v>
      </c>
    </row>
    <row r="149" spans="2:2">
      <c r="B149" s="4">
        <f t="shared" si="2"/>
        <v>45868</v>
      </c>
    </row>
    <row r="150" spans="2:2">
      <c r="B150" s="4">
        <f t="shared" si="2"/>
        <v>45869</v>
      </c>
    </row>
    <row r="151" spans="2:2">
      <c r="B151" s="4">
        <f t="shared" si="2"/>
        <v>45870</v>
      </c>
    </row>
    <row r="152" spans="2:2">
      <c r="B152" s="4">
        <f t="shared" si="2"/>
        <v>45873</v>
      </c>
    </row>
    <row r="153" spans="2:2">
      <c r="B153" s="4">
        <f t="shared" si="2"/>
        <v>45874</v>
      </c>
    </row>
    <row r="154" spans="2:2">
      <c r="B154" s="4">
        <f t="shared" si="2"/>
        <v>45875</v>
      </c>
    </row>
    <row r="155" spans="2:2">
      <c r="B155" s="4">
        <f t="shared" si="2"/>
        <v>45876</v>
      </c>
    </row>
    <row r="156" spans="2:2">
      <c r="B156" s="4">
        <f t="shared" si="2"/>
        <v>45877</v>
      </c>
    </row>
    <row r="157" spans="2:2">
      <c r="B157" s="4">
        <f t="shared" si="2"/>
        <v>45880</v>
      </c>
    </row>
    <row r="158" spans="2:2">
      <c r="B158" s="4">
        <f t="shared" si="2"/>
        <v>45881</v>
      </c>
    </row>
    <row r="159" spans="2:2">
      <c r="B159" s="4">
        <f t="shared" si="2"/>
        <v>45882</v>
      </c>
    </row>
    <row r="160" spans="2:2">
      <c r="B160" s="4">
        <f t="shared" si="2"/>
        <v>45883</v>
      </c>
    </row>
    <row r="161" spans="2:2">
      <c r="B161" s="4">
        <f t="shared" si="2"/>
        <v>45884</v>
      </c>
    </row>
    <row r="162" spans="2:2">
      <c r="B162" s="4">
        <f t="shared" si="2"/>
        <v>45887</v>
      </c>
    </row>
    <row r="163" spans="2:2">
      <c r="B163" s="4">
        <f t="shared" si="2"/>
        <v>45888</v>
      </c>
    </row>
    <row r="164" spans="2:2">
      <c r="B164" s="4">
        <f t="shared" si="2"/>
        <v>45889</v>
      </c>
    </row>
    <row r="165" spans="2:2">
      <c r="B165" s="4">
        <f t="shared" si="2"/>
        <v>45890</v>
      </c>
    </row>
    <row r="166" spans="2:2">
      <c r="B166" s="4">
        <f t="shared" si="2"/>
        <v>45891</v>
      </c>
    </row>
    <row r="167" spans="2:2">
      <c r="B167" s="4">
        <f t="shared" si="2"/>
        <v>45894</v>
      </c>
    </row>
    <row r="168" spans="2:2">
      <c r="B168" s="4">
        <f t="shared" si="2"/>
        <v>45895</v>
      </c>
    </row>
    <row r="169" spans="2:2">
      <c r="B169" s="4">
        <f t="shared" si="2"/>
        <v>45896</v>
      </c>
    </row>
    <row r="170" spans="2:2">
      <c r="B170" s="4">
        <f t="shared" si="2"/>
        <v>45897</v>
      </c>
    </row>
    <row r="171" spans="2:2">
      <c r="B171" s="4">
        <f t="shared" si="2"/>
        <v>45898</v>
      </c>
    </row>
    <row r="172" spans="2:2">
      <c r="B172" s="4">
        <f t="shared" si="2"/>
        <v>45902</v>
      </c>
    </row>
    <row r="173" spans="2:2">
      <c r="B173" s="4">
        <f t="shared" si="2"/>
        <v>45903</v>
      </c>
    </row>
    <row r="174" spans="2:2">
      <c r="B174" s="4">
        <f t="shared" si="2"/>
        <v>45904</v>
      </c>
    </row>
    <row r="175" spans="2:2">
      <c r="B175" s="4">
        <f t="shared" si="2"/>
        <v>45905</v>
      </c>
    </row>
    <row r="176" spans="2:2">
      <c r="B176" s="4">
        <f t="shared" si="2"/>
        <v>45908</v>
      </c>
    </row>
    <row r="177" spans="2:2">
      <c r="B177" s="4">
        <f t="shared" si="2"/>
        <v>45909</v>
      </c>
    </row>
    <row r="178" spans="2:2">
      <c r="B178" s="4">
        <f t="shared" si="2"/>
        <v>45910</v>
      </c>
    </row>
    <row r="179" spans="2:2">
      <c r="B179" s="4">
        <f t="shared" si="2"/>
        <v>45911</v>
      </c>
    </row>
    <row r="180" spans="2:2">
      <c r="B180" s="4">
        <f t="shared" si="2"/>
        <v>45912</v>
      </c>
    </row>
    <row r="181" spans="2:2">
      <c r="B181" s="4">
        <f t="shared" si="2"/>
        <v>45915</v>
      </c>
    </row>
    <row r="182" spans="2:2">
      <c r="B182" s="4">
        <f t="shared" si="2"/>
        <v>45916</v>
      </c>
    </row>
    <row r="183" spans="2:2">
      <c r="B183" s="4">
        <f t="shared" si="2"/>
        <v>45917</v>
      </c>
    </row>
    <row r="184" spans="2:2">
      <c r="B184" s="4">
        <f t="shared" si="2"/>
        <v>45918</v>
      </c>
    </row>
    <row r="185" spans="2:2">
      <c r="B185" s="4">
        <f t="shared" si="2"/>
        <v>45919</v>
      </c>
    </row>
    <row r="186" spans="2:2">
      <c r="B186" s="4">
        <f t="shared" si="2"/>
        <v>45922</v>
      </c>
    </row>
    <row r="187" spans="2:2">
      <c r="B187" s="4">
        <f t="shared" si="2"/>
        <v>45923</v>
      </c>
    </row>
    <row r="188" spans="2:2">
      <c r="B188" s="4">
        <f t="shared" si="2"/>
        <v>45924</v>
      </c>
    </row>
    <row r="189" spans="2:2">
      <c r="B189" s="4">
        <f t="shared" si="2"/>
        <v>45925</v>
      </c>
    </row>
    <row r="190" spans="2:2">
      <c r="B190" s="4">
        <f t="shared" si="2"/>
        <v>45926</v>
      </c>
    </row>
    <row r="191" spans="2:2">
      <c r="B191" s="4">
        <f t="shared" si="2"/>
        <v>45929</v>
      </c>
    </row>
    <row r="192" spans="2:2">
      <c r="B192" s="4">
        <f t="shared" si="2"/>
        <v>45930</v>
      </c>
    </row>
    <row r="193" spans="2:2">
      <c r="B193" s="4">
        <f t="shared" si="2"/>
        <v>45931</v>
      </c>
    </row>
    <row r="194" spans="2:2">
      <c r="B194" s="4">
        <f t="shared" si="2"/>
        <v>45932</v>
      </c>
    </row>
    <row r="195" spans="2:2">
      <c r="B195" s="4">
        <f t="shared" si="2"/>
        <v>45933</v>
      </c>
    </row>
    <row r="196" spans="2:2">
      <c r="B196" s="4">
        <f t="shared" ref="B196:B254" si="3">WORKDAY.INTL(B195,1,1,$D$4:$D$14)</f>
        <v>45936</v>
      </c>
    </row>
    <row r="197" spans="2:2">
      <c r="B197" s="4">
        <f t="shared" si="3"/>
        <v>45937</v>
      </c>
    </row>
    <row r="198" spans="2:2">
      <c r="B198" s="4">
        <f t="shared" si="3"/>
        <v>45938</v>
      </c>
    </row>
    <row r="199" spans="2:2">
      <c r="B199" s="4">
        <f t="shared" si="3"/>
        <v>45939</v>
      </c>
    </row>
    <row r="200" spans="2:2">
      <c r="B200" s="4">
        <f t="shared" si="3"/>
        <v>45943</v>
      </c>
    </row>
    <row r="201" spans="2:2">
      <c r="B201" s="4">
        <f t="shared" si="3"/>
        <v>45944</v>
      </c>
    </row>
    <row r="202" spans="2:2">
      <c r="B202" s="4">
        <f t="shared" si="3"/>
        <v>45945</v>
      </c>
    </row>
    <row r="203" spans="2:2">
      <c r="B203" s="4">
        <f t="shared" si="3"/>
        <v>45946</v>
      </c>
    </row>
    <row r="204" spans="2:2">
      <c r="B204" s="4">
        <f t="shared" si="3"/>
        <v>45947</v>
      </c>
    </row>
    <row r="205" spans="2:2">
      <c r="B205" s="4">
        <f t="shared" si="3"/>
        <v>45950</v>
      </c>
    </row>
    <row r="206" spans="2:2">
      <c r="B206" s="4">
        <f t="shared" si="3"/>
        <v>45951</v>
      </c>
    </row>
    <row r="207" spans="2:2">
      <c r="B207" s="4">
        <f t="shared" si="3"/>
        <v>45952</v>
      </c>
    </row>
    <row r="208" spans="2:2">
      <c r="B208" s="4">
        <f t="shared" si="3"/>
        <v>45953</v>
      </c>
    </row>
    <row r="209" spans="2:2">
      <c r="B209" s="4">
        <f t="shared" si="3"/>
        <v>45954</v>
      </c>
    </row>
    <row r="210" spans="2:2">
      <c r="B210" s="4">
        <f t="shared" si="3"/>
        <v>45957</v>
      </c>
    </row>
    <row r="211" spans="2:2">
      <c r="B211" s="4">
        <f t="shared" si="3"/>
        <v>45958</v>
      </c>
    </row>
    <row r="212" spans="2:2">
      <c r="B212" s="4">
        <f t="shared" si="3"/>
        <v>45959</v>
      </c>
    </row>
    <row r="213" spans="2:2">
      <c r="B213" s="4">
        <f t="shared" si="3"/>
        <v>45960</v>
      </c>
    </row>
    <row r="214" spans="2:2">
      <c r="B214" s="4">
        <f t="shared" si="3"/>
        <v>45961</v>
      </c>
    </row>
    <row r="215" spans="2:2">
      <c r="B215" s="4">
        <f t="shared" si="3"/>
        <v>45964</v>
      </c>
    </row>
    <row r="216" spans="2:2">
      <c r="B216" s="4">
        <f t="shared" si="3"/>
        <v>45965</v>
      </c>
    </row>
    <row r="217" spans="2:2">
      <c r="B217" s="4">
        <f t="shared" si="3"/>
        <v>45966</v>
      </c>
    </row>
    <row r="218" spans="2:2">
      <c r="B218" s="4">
        <f t="shared" si="3"/>
        <v>45967</v>
      </c>
    </row>
    <row r="219" spans="2:2">
      <c r="B219" s="4">
        <f t="shared" si="3"/>
        <v>45968</v>
      </c>
    </row>
    <row r="220" spans="2:2">
      <c r="B220" s="4">
        <f t="shared" si="3"/>
        <v>45971</v>
      </c>
    </row>
    <row r="221" spans="2:2">
      <c r="B221" s="4">
        <f t="shared" si="3"/>
        <v>45972</v>
      </c>
    </row>
    <row r="222" spans="2:2">
      <c r="B222" s="4">
        <f t="shared" si="3"/>
        <v>45973</v>
      </c>
    </row>
    <row r="223" spans="2:2">
      <c r="B223" s="4">
        <f t="shared" si="3"/>
        <v>45974</v>
      </c>
    </row>
    <row r="224" spans="2:2">
      <c r="B224" s="4">
        <f t="shared" si="3"/>
        <v>45975</v>
      </c>
    </row>
    <row r="225" spans="2:2">
      <c r="B225" s="4">
        <f t="shared" si="3"/>
        <v>45978</v>
      </c>
    </row>
    <row r="226" spans="2:2">
      <c r="B226" s="4">
        <f t="shared" si="3"/>
        <v>45979</v>
      </c>
    </row>
    <row r="227" spans="2:2">
      <c r="B227" s="4">
        <f t="shared" si="3"/>
        <v>45980</v>
      </c>
    </row>
    <row r="228" spans="2:2">
      <c r="B228" s="4">
        <f t="shared" si="3"/>
        <v>45981</v>
      </c>
    </row>
    <row r="229" spans="2:2">
      <c r="B229" s="4">
        <f t="shared" si="3"/>
        <v>45982</v>
      </c>
    </row>
    <row r="230" spans="2:2">
      <c r="B230" s="4">
        <f t="shared" si="3"/>
        <v>45986</v>
      </c>
    </row>
    <row r="231" spans="2:2">
      <c r="B231" s="4">
        <f t="shared" si="3"/>
        <v>45987</v>
      </c>
    </row>
    <row r="232" spans="2:2">
      <c r="B232" s="4">
        <f t="shared" si="3"/>
        <v>45988</v>
      </c>
    </row>
    <row r="233" spans="2:2">
      <c r="B233" s="4">
        <f t="shared" si="3"/>
        <v>45989</v>
      </c>
    </row>
    <row r="234" spans="2:2">
      <c r="B234" s="4">
        <f t="shared" si="3"/>
        <v>45992</v>
      </c>
    </row>
    <row r="235" spans="2:2">
      <c r="B235" s="4">
        <f t="shared" si="3"/>
        <v>45993</v>
      </c>
    </row>
    <row r="236" spans="2:2">
      <c r="B236" s="4">
        <f t="shared" si="3"/>
        <v>45994</v>
      </c>
    </row>
    <row r="237" spans="2:2">
      <c r="B237" s="4">
        <f t="shared" si="3"/>
        <v>45995</v>
      </c>
    </row>
    <row r="238" spans="2:2">
      <c r="B238" s="4">
        <f t="shared" si="3"/>
        <v>45996</v>
      </c>
    </row>
    <row r="239" spans="2:2">
      <c r="B239" s="4">
        <f t="shared" si="3"/>
        <v>45999</v>
      </c>
    </row>
    <row r="240" spans="2:2">
      <c r="B240" s="4">
        <f t="shared" si="3"/>
        <v>46000</v>
      </c>
    </row>
    <row r="241" spans="2:2">
      <c r="B241" s="4">
        <f t="shared" si="3"/>
        <v>46001</v>
      </c>
    </row>
    <row r="242" spans="2:2">
      <c r="B242" s="4">
        <f t="shared" si="3"/>
        <v>46002</v>
      </c>
    </row>
    <row r="243" spans="2:2">
      <c r="B243" s="4">
        <f t="shared" si="3"/>
        <v>46003</v>
      </c>
    </row>
    <row r="244" spans="2:2">
      <c r="B244" s="4">
        <f t="shared" si="3"/>
        <v>46006</v>
      </c>
    </row>
    <row r="245" spans="2:2">
      <c r="B245" s="4">
        <f t="shared" si="3"/>
        <v>46007</v>
      </c>
    </row>
    <row r="246" spans="2:2">
      <c r="B246" s="4">
        <f t="shared" si="3"/>
        <v>46008</v>
      </c>
    </row>
    <row r="247" spans="2:2">
      <c r="B247" s="4">
        <f t="shared" si="3"/>
        <v>46009</v>
      </c>
    </row>
    <row r="248" spans="2:2">
      <c r="B248" s="4">
        <f t="shared" si="3"/>
        <v>46010</v>
      </c>
    </row>
    <row r="249" spans="2:2">
      <c r="B249" s="4">
        <f t="shared" si="3"/>
        <v>46013</v>
      </c>
    </row>
    <row r="250" spans="2:2">
      <c r="B250" s="4">
        <f t="shared" si="3"/>
        <v>46014</v>
      </c>
    </row>
    <row r="251" spans="2:2">
      <c r="B251" s="4">
        <f t="shared" si="3"/>
        <v>46017</v>
      </c>
    </row>
    <row r="252" spans="2:2">
      <c r="B252" s="4">
        <f t="shared" si="3"/>
        <v>46020</v>
      </c>
    </row>
    <row r="253" spans="2:2">
      <c r="B253" s="4">
        <f t="shared" si="3"/>
        <v>46021</v>
      </c>
    </row>
    <row r="254" spans="2:2">
      <c r="B254" s="4">
        <f t="shared" si="3"/>
        <v>46023</v>
      </c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C9"/>
  <sheetViews>
    <sheetView zoomScale="115" zoomScaleNormal="115" workbookViewId="0"/>
  </sheetViews>
  <sheetFormatPr defaultRowHeight="14.4"/>
  <cols>
    <col min="1" max="1" width="4.5546875" customWidth="1"/>
    <col min="2" max="2" width="15.5546875" bestFit="1" customWidth="1"/>
    <col min="3" max="3" width="12.88671875" customWidth="1"/>
  </cols>
  <sheetData>
    <row r="3" spans="2:3">
      <c r="C3" s="6">
        <v>45428</v>
      </c>
    </row>
    <row r="5" spans="2:3">
      <c r="B5" s="27" t="s">
        <v>43</v>
      </c>
      <c r="C5" s="13">
        <f>YEAR(C3)</f>
        <v>2024</v>
      </c>
    </row>
    <row r="6" spans="2:3">
      <c r="B6" s="27" t="s">
        <v>44</v>
      </c>
      <c r="C6" s="13">
        <f>MONTH(C3)</f>
        <v>5</v>
      </c>
    </row>
    <row r="7" spans="2:3">
      <c r="B7" s="27" t="s">
        <v>45</v>
      </c>
      <c r="C7" s="13">
        <f>DAY(C3)</f>
        <v>16</v>
      </c>
    </row>
    <row r="8" spans="2:3">
      <c r="B8" s="27" t="s">
        <v>46</v>
      </c>
      <c r="C8" s="13">
        <f>WEEKDAY(C3)</f>
        <v>5</v>
      </c>
    </row>
    <row r="9" spans="2:3">
      <c r="B9" s="27" t="s">
        <v>47</v>
      </c>
      <c r="C9" s="13">
        <f>WEEKNUM(C3)</f>
        <v>20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15"/>
  <sheetViews>
    <sheetView zoomScale="115" zoomScaleNormal="115" workbookViewId="0"/>
  </sheetViews>
  <sheetFormatPr defaultRowHeight="14.4"/>
  <cols>
    <col min="1" max="2" width="11" bestFit="1" customWidth="1"/>
    <col min="3" max="3" width="26.109375" bestFit="1" customWidth="1"/>
    <col min="6" max="6" width="10.6640625" bestFit="1" customWidth="1"/>
  </cols>
  <sheetData>
    <row r="3" spans="1:3">
      <c r="A3" s="2" t="s">
        <v>18</v>
      </c>
      <c r="B3" s="2" t="s">
        <v>19</v>
      </c>
      <c r="C3" s="2" t="s">
        <v>22</v>
      </c>
    </row>
    <row r="4" spans="1:3">
      <c r="A4" s="1">
        <v>22243</v>
      </c>
      <c r="B4" s="4">
        <f ca="1">TODAY()</f>
        <v>46115</v>
      </c>
      <c r="C4" s="7" t="str">
        <f ca="1">DATEDIF(A4,B4,"Y")  &amp;  " Years, "  &amp;  DATEDIF(A4,B4,"YM")  &amp;  " Months"</f>
        <v>65 Years, 4 Months</v>
      </c>
    </row>
    <row r="5" spans="1:3">
      <c r="A5" s="1">
        <v>16370</v>
      </c>
      <c r="B5" s="4">
        <f t="shared" ref="B5:B15" ca="1" si="0">TODAY()</f>
        <v>46115</v>
      </c>
      <c r="C5" s="7" t="str">
        <f t="shared" ref="C5:C15" ca="1" si="1">DATEDIF(A5,B5,"Y")  &amp;  " Years, "  &amp;  DATEDIF(A5,B5,"YM")  &amp;  " Months"</f>
        <v>81 Years, 5 Months</v>
      </c>
    </row>
    <row r="6" spans="1:3">
      <c r="A6" s="1">
        <v>7410</v>
      </c>
      <c r="B6" s="4">
        <f t="shared" ca="1" si="0"/>
        <v>46115</v>
      </c>
      <c r="C6" s="7" t="str">
        <f t="shared" ca="1" si="1"/>
        <v>105 Years, 11 Months</v>
      </c>
    </row>
    <row r="7" spans="1:3">
      <c r="A7" s="1">
        <v>14851</v>
      </c>
      <c r="B7" s="4">
        <f t="shared" ca="1" si="0"/>
        <v>46115</v>
      </c>
      <c r="C7" s="7" t="str">
        <f t="shared" ca="1" si="1"/>
        <v>85 Years, 7 Months</v>
      </c>
    </row>
    <row r="8" spans="1:3">
      <c r="A8" s="1">
        <v>31994</v>
      </c>
      <c r="B8" s="4">
        <f t="shared" ca="1" si="0"/>
        <v>46115</v>
      </c>
      <c r="C8" s="7" t="str">
        <f t="shared" ca="1" si="1"/>
        <v>38 Years, 7 Months</v>
      </c>
    </row>
    <row r="9" spans="1:3">
      <c r="A9" s="1">
        <v>30187</v>
      </c>
      <c r="B9" s="4">
        <f t="shared" ca="1" si="0"/>
        <v>46115</v>
      </c>
      <c r="C9" s="7" t="str">
        <f t="shared" ca="1" si="1"/>
        <v>43 Years, 7 Months</v>
      </c>
    </row>
    <row r="10" spans="1:3">
      <c r="A10" s="1">
        <v>21626</v>
      </c>
      <c r="B10" s="4">
        <f t="shared" ca="1" si="0"/>
        <v>46115</v>
      </c>
      <c r="C10" s="7" t="str">
        <f t="shared" ca="1" si="1"/>
        <v>67 Years, 0 Months</v>
      </c>
    </row>
    <row r="11" spans="1:3">
      <c r="A11" s="1">
        <v>22377</v>
      </c>
      <c r="B11" s="4">
        <f t="shared" ca="1" si="0"/>
        <v>46115</v>
      </c>
      <c r="C11" s="7" t="str">
        <f t="shared" ca="1" si="1"/>
        <v>64 Years, 11 Months</v>
      </c>
    </row>
    <row r="12" spans="1:3">
      <c r="A12" s="1">
        <v>16228</v>
      </c>
      <c r="B12" s="4">
        <f t="shared" ca="1" si="0"/>
        <v>46115</v>
      </c>
      <c r="C12" s="7" t="str">
        <f t="shared" ca="1" si="1"/>
        <v>81 Years, 9 Months</v>
      </c>
    </row>
    <row r="13" spans="1:3">
      <c r="A13" s="1">
        <v>11032</v>
      </c>
      <c r="B13" s="4">
        <f t="shared" ca="1" si="0"/>
        <v>46115</v>
      </c>
      <c r="C13" s="7" t="str">
        <f t="shared" ca="1" si="1"/>
        <v>96 Years, 0 Months</v>
      </c>
    </row>
    <row r="14" spans="1:3">
      <c r="A14" s="1">
        <v>7943</v>
      </c>
      <c r="B14" s="4">
        <f t="shared" ca="1" si="0"/>
        <v>46115</v>
      </c>
      <c r="C14" s="7" t="str">
        <f t="shared" ca="1" si="1"/>
        <v>104 Years, 6 Months</v>
      </c>
    </row>
    <row r="15" spans="1:3">
      <c r="A15" s="1">
        <v>19489</v>
      </c>
      <c r="B15" s="4">
        <f t="shared" ca="1" si="0"/>
        <v>46115</v>
      </c>
      <c r="C15" s="7" t="str">
        <f t="shared" ca="1" si="1"/>
        <v>72 Years, 10 Months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F15"/>
  <sheetViews>
    <sheetView zoomScale="115" zoomScaleNormal="115" workbookViewId="0"/>
  </sheetViews>
  <sheetFormatPr defaultRowHeight="14.4"/>
  <cols>
    <col min="1" max="1" width="13.5546875" bestFit="1" customWidth="1"/>
    <col min="2" max="2" width="42.5546875" style="5" customWidth="1"/>
    <col min="3" max="3" width="9.6640625" bestFit="1" customWidth="1"/>
    <col min="6" max="6" width="10.6640625" bestFit="1" customWidth="1"/>
  </cols>
  <sheetData>
    <row r="3" spans="1:6">
      <c r="A3" s="2" t="s">
        <v>23</v>
      </c>
      <c r="B3" s="3" t="s">
        <v>24</v>
      </c>
    </row>
    <row r="4" spans="1:6">
      <c r="A4" s="1">
        <v>21916</v>
      </c>
      <c r="B4" s="5" t="str">
        <f>RIGHT(YEAR(A4),2)&amp;A4-DATE(YEAR(A4),1,0)</f>
        <v>601</v>
      </c>
      <c r="F4" s="1"/>
    </row>
    <row r="5" spans="1:6">
      <c r="A5" s="1">
        <v>16370</v>
      </c>
      <c r="B5" s="5" t="str">
        <f t="shared" ref="B5:B15" si="0">RIGHT(YEAR(A5),2)&amp;A5-DATE(YEAR(A5),1,0)</f>
        <v>44299</v>
      </c>
      <c r="C5" s="1"/>
    </row>
    <row r="6" spans="1:6">
      <c r="A6" s="1">
        <v>7410</v>
      </c>
      <c r="B6" s="5" t="str">
        <f t="shared" si="0"/>
        <v>20105</v>
      </c>
    </row>
    <row r="7" spans="1:6">
      <c r="A7" s="1">
        <v>14851</v>
      </c>
      <c r="B7" s="5" t="str">
        <f t="shared" si="0"/>
        <v>40241</v>
      </c>
    </row>
    <row r="8" spans="1:6">
      <c r="A8" s="1">
        <v>31994</v>
      </c>
      <c r="B8" s="5" t="str">
        <f t="shared" si="0"/>
        <v>87217</v>
      </c>
    </row>
    <row r="9" spans="1:6">
      <c r="A9" s="1">
        <v>30187</v>
      </c>
      <c r="B9" s="5" t="str">
        <f t="shared" si="0"/>
        <v>82236</v>
      </c>
    </row>
    <row r="10" spans="1:6">
      <c r="A10" s="1">
        <v>21626</v>
      </c>
      <c r="B10" s="5" t="str">
        <f t="shared" si="0"/>
        <v>5976</v>
      </c>
    </row>
    <row r="11" spans="1:6">
      <c r="A11" s="1">
        <v>22377</v>
      </c>
      <c r="B11" s="5" t="str">
        <f t="shared" si="0"/>
        <v>6196</v>
      </c>
    </row>
    <row r="12" spans="1:6">
      <c r="A12" s="1">
        <v>16228</v>
      </c>
      <c r="B12" s="5" t="str">
        <f t="shared" si="0"/>
        <v>44157</v>
      </c>
    </row>
    <row r="13" spans="1:6">
      <c r="A13" s="1">
        <v>11032</v>
      </c>
      <c r="B13" s="5" t="str">
        <f t="shared" si="0"/>
        <v>3074</v>
      </c>
    </row>
    <row r="14" spans="1:6">
      <c r="A14" s="1">
        <v>36798</v>
      </c>
      <c r="B14" s="5" t="str">
        <f t="shared" si="0"/>
        <v>00273</v>
      </c>
    </row>
    <row r="15" spans="1:6">
      <c r="A15" s="1">
        <v>44326</v>
      </c>
      <c r="B15" s="5" t="str">
        <f t="shared" si="0"/>
        <v>21130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9"/>
  <sheetViews>
    <sheetView zoomScale="115" zoomScaleNormal="115" workbookViewId="0"/>
  </sheetViews>
  <sheetFormatPr defaultRowHeight="14.4"/>
  <cols>
    <col min="1" max="1" width="5.109375" customWidth="1"/>
    <col min="2" max="2" width="24.6640625" style="5" bestFit="1" customWidth="1"/>
    <col min="3" max="3" width="22.44140625" style="5" bestFit="1" customWidth="1"/>
    <col min="5" max="5" width="24.44140625" bestFit="1" customWidth="1"/>
    <col min="6" max="6" width="29" bestFit="1" customWidth="1"/>
  </cols>
  <sheetData>
    <row r="2" spans="2:3">
      <c r="B2" s="3" t="s">
        <v>18</v>
      </c>
      <c r="C2" s="3" t="s">
        <v>19</v>
      </c>
    </row>
    <row r="3" spans="2:3">
      <c r="B3" s="4">
        <v>45292</v>
      </c>
      <c r="C3" s="4">
        <v>45537</v>
      </c>
    </row>
    <row r="6" spans="2:3">
      <c r="B6" s="3" t="s">
        <v>25</v>
      </c>
      <c r="C6" s="3" t="s">
        <v>26</v>
      </c>
    </row>
    <row r="7" spans="2:3">
      <c r="B7" s="9">
        <f>YEARFRAC(B3,C3)</f>
        <v>0.6694444444444444</v>
      </c>
      <c r="C7" s="9">
        <f>1-YEARFRAC(B3,C3)</f>
        <v>0.3305555555555556</v>
      </c>
    </row>
    <row r="9" spans="2:3">
      <c r="B9" s="2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18"/>
  <sheetViews>
    <sheetView zoomScale="115" zoomScaleNormal="115" workbookViewId="0"/>
  </sheetViews>
  <sheetFormatPr defaultRowHeight="14.4"/>
  <cols>
    <col min="1" max="1" width="4.44140625" customWidth="1"/>
    <col min="2" max="2" width="19.44140625" style="5" bestFit="1" customWidth="1"/>
    <col min="3" max="3" width="31.44140625" style="5" customWidth="1"/>
    <col min="9" max="9" width="11" bestFit="1" customWidth="1"/>
  </cols>
  <sheetData>
    <row r="2" spans="2:9">
      <c r="B2" s="3" t="s">
        <v>27</v>
      </c>
      <c r="C2" s="3" t="s">
        <v>28</v>
      </c>
    </row>
    <row r="3" spans="2:9">
      <c r="B3" s="4">
        <v>39845</v>
      </c>
      <c r="C3" s="4">
        <f>DATE(YEAR(B3),MONTH(B3)+1,0)</f>
        <v>39872</v>
      </c>
    </row>
    <row r="4" spans="2:9">
      <c r="B4" s="4">
        <v>40210</v>
      </c>
      <c r="C4" s="4">
        <f>DATE(YEAR(B4),MONTH(B4)+1,0)</f>
        <v>40237</v>
      </c>
    </row>
    <row r="5" spans="2:9">
      <c r="B5" s="4">
        <v>40575</v>
      </c>
      <c r="C5" s="4">
        <f t="shared" ref="C5:C18" si="0">DATE(YEAR(B5),MONTH(B5)+1,0)</f>
        <v>40602</v>
      </c>
    </row>
    <row r="6" spans="2:9">
      <c r="B6" s="4">
        <v>40940</v>
      </c>
      <c r="C6" s="4">
        <f t="shared" si="0"/>
        <v>40968</v>
      </c>
    </row>
    <row r="7" spans="2:9">
      <c r="B7" s="4">
        <v>41306</v>
      </c>
      <c r="C7" s="4">
        <f t="shared" si="0"/>
        <v>41333</v>
      </c>
    </row>
    <row r="8" spans="2:9">
      <c r="B8" s="4">
        <v>41671</v>
      </c>
      <c r="C8" s="4">
        <f t="shared" si="0"/>
        <v>41698</v>
      </c>
    </row>
    <row r="9" spans="2:9">
      <c r="B9" s="4">
        <v>42036</v>
      </c>
      <c r="C9" s="4">
        <f t="shared" si="0"/>
        <v>42063</v>
      </c>
    </row>
    <row r="10" spans="2:9">
      <c r="B10" s="4">
        <v>42401</v>
      </c>
      <c r="C10" s="4">
        <f t="shared" si="0"/>
        <v>42429</v>
      </c>
    </row>
    <row r="11" spans="2:9">
      <c r="B11" s="4">
        <v>42767</v>
      </c>
      <c r="C11" s="4">
        <f t="shared" si="0"/>
        <v>42794</v>
      </c>
      <c r="H11" s="39"/>
    </row>
    <row r="12" spans="2:9">
      <c r="B12" s="4">
        <v>43132</v>
      </c>
      <c r="C12" s="4">
        <f t="shared" si="0"/>
        <v>43159</v>
      </c>
    </row>
    <row r="13" spans="2:9">
      <c r="B13" s="4">
        <v>43497</v>
      </c>
      <c r="C13" s="4">
        <f t="shared" si="0"/>
        <v>43524</v>
      </c>
      <c r="I13" s="38"/>
    </row>
    <row r="14" spans="2:9">
      <c r="B14" s="4">
        <v>43862</v>
      </c>
      <c r="C14" s="4">
        <f t="shared" si="0"/>
        <v>43890</v>
      </c>
      <c r="I14" s="38"/>
    </row>
    <row r="15" spans="2:9">
      <c r="B15" s="4">
        <v>44228</v>
      </c>
      <c r="C15" s="4">
        <f t="shared" si="0"/>
        <v>44255</v>
      </c>
    </row>
    <row r="16" spans="2:9">
      <c r="B16" s="4">
        <v>44593</v>
      </c>
      <c r="C16" s="4">
        <f t="shared" si="0"/>
        <v>44620</v>
      </c>
    </row>
    <row r="17" spans="2:3">
      <c r="B17" s="4">
        <v>44958</v>
      </c>
      <c r="C17" s="4">
        <f t="shared" si="0"/>
        <v>44985</v>
      </c>
    </row>
    <row r="18" spans="2:3">
      <c r="B18" s="4">
        <v>45323</v>
      </c>
      <c r="C18" s="4">
        <f t="shared" si="0"/>
        <v>45351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14"/>
  <sheetViews>
    <sheetView zoomScale="115" zoomScaleNormal="115" workbookViewId="0"/>
  </sheetViews>
  <sheetFormatPr defaultRowHeight="14.4"/>
  <cols>
    <col min="2" max="2" width="10.88671875" bestFit="1" customWidth="1"/>
    <col min="3" max="3" width="27.5546875" customWidth="1"/>
  </cols>
  <sheetData>
    <row r="2" spans="2:3">
      <c r="B2" s="2" t="s">
        <v>29</v>
      </c>
      <c r="C2" s="2" t="s">
        <v>30</v>
      </c>
    </row>
    <row r="3" spans="2:3">
      <c r="B3" s="1">
        <v>45292</v>
      </c>
      <c r="C3" s="10">
        <f>ROUNDUP(MONTH(B3)/3,0)</f>
        <v>1</v>
      </c>
    </row>
    <row r="4" spans="2:3">
      <c r="B4" s="1">
        <v>45312</v>
      </c>
      <c r="C4" s="10">
        <f t="shared" ref="C4:C14" si="0">ROUNDUP(MONTH(B4)/3,0)</f>
        <v>1</v>
      </c>
    </row>
    <row r="5" spans="2:3">
      <c r="B5" s="1">
        <v>45380</v>
      </c>
      <c r="C5" s="10">
        <f t="shared" si="0"/>
        <v>1</v>
      </c>
    </row>
    <row r="6" spans="2:3">
      <c r="B6" s="1">
        <v>45382</v>
      </c>
      <c r="C6" s="10">
        <f t="shared" si="0"/>
        <v>1</v>
      </c>
    </row>
    <row r="7" spans="2:3">
      <c r="B7" s="1">
        <v>45443</v>
      </c>
      <c r="C7" s="10">
        <f t="shared" si="0"/>
        <v>2</v>
      </c>
    </row>
    <row r="8" spans="2:3">
      <c r="B8" s="1">
        <v>45477</v>
      </c>
      <c r="C8" s="10">
        <f t="shared" si="0"/>
        <v>3</v>
      </c>
    </row>
    <row r="9" spans="2:3">
      <c r="B9" s="1">
        <v>45536</v>
      </c>
      <c r="C9" s="10">
        <f t="shared" si="0"/>
        <v>3</v>
      </c>
    </row>
    <row r="10" spans="2:3">
      <c r="B10" s="1">
        <v>45579</v>
      </c>
      <c r="C10" s="10">
        <f t="shared" si="0"/>
        <v>4</v>
      </c>
    </row>
    <row r="11" spans="2:3">
      <c r="B11" s="1">
        <v>45624</v>
      </c>
      <c r="C11" s="10">
        <f t="shared" si="0"/>
        <v>4</v>
      </c>
    </row>
    <row r="12" spans="2:3">
      <c r="B12" s="1">
        <v>45650</v>
      </c>
      <c r="C12" s="10">
        <f t="shared" si="0"/>
        <v>4</v>
      </c>
    </row>
    <row r="13" spans="2:3">
      <c r="B13" s="1">
        <v>45651</v>
      </c>
      <c r="C13" s="10">
        <f t="shared" si="0"/>
        <v>4</v>
      </c>
    </row>
    <row r="14" spans="2:3">
      <c r="B14" s="1">
        <v>45657</v>
      </c>
      <c r="C14" s="10">
        <f t="shared" si="0"/>
        <v>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14"/>
  <sheetViews>
    <sheetView zoomScale="115" zoomScaleNormal="115" workbookViewId="0"/>
  </sheetViews>
  <sheetFormatPr defaultRowHeight="14.4"/>
  <cols>
    <col min="1" max="1" width="3.109375" customWidth="1"/>
    <col min="2" max="2" width="10.88671875" bestFit="1" customWidth="1"/>
    <col min="3" max="3" width="44.44140625" style="5" customWidth="1"/>
    <col min="6" max="6" width="10.6640625" bestFit="1" customWidth="1"/>
    <col min="8" max="8" width="10.6640625" bestFit="1" customWidth="1"/>
  </cols>
  <sheetData>
    <row r="2" spans="2:8" ht="28.2">
      <c r="B2" s="2" t="s">
        <v>29</v>
      </c>
      <c r="C2" s="12" t="s">
        <v>31</v>
      </c>
      <c r="F2" s="5"/>
    </row>
    <row r="3" spans="2:8">
      <c r="B3" s="1">
        <v>45292</v>
      </c>
      <c r="C3" s="5">
        <f>CHOOSE(MONTH(B3),4,4,4,1,1,1,2,2,2,3,3,3)</f>
        <v>4</v>
      </c>
      <c r="F3" s="4"/>
      <c r="H3" s="1"/>
    </row>
    <row r="4" spans="2:8">
      <c r="B4" s="1">
        <v>45312</v>
      </c>
      <c r="C4" s="5">
        <f t="shared" ref="C4:C14" si="0">CHOOSE(MONTH(B4),4,4,4,1,1,1,2,2,2,3,3,3)</f>
        <v>4</v>
      </c>
      <c r="H4" s="1"/>
    </row>
    <row r="5" spans="2:8">
      <c r="B5" s="1">
        <v>45380</v>
      </c>
      <c r="C5" s="5">
        <f t="shared" si="0"/>
        <v>4</v>
      </c>
      <c r="H5" s="1"/>
    </row>
    <row r="6" spans="2:8">
      <c r="B6" s="1">
        <v>45382</v>
      </c>
      <c r="C6" s="5">
        <f t="shared" si="0"/>
        <v>4</v>
      </c>
      <c r="H6" s="1"/>
    </row>
    <row r="7" spans="2:8">
      <c r="B7" s="1">
        <v>45443</v>
      </c>
      <c r="C7" s="5">
        <f t="shared" si="0"/>
        <v>1</v>
      </c>
      <c r="H7" s="1"/>
    </row>
    <row r="8" spans="2:8">
      <c r="B8" s="1">
        <v>45477</v>
      </c>
      <c r="C8" s="5">
        <f t="shared" si="0"/>
        <v>2</v>
      </c>
      <c r="H8" s="1"/>
    </row>
    <row r="9" spans="2:8">
      <c r="B9" s="1">
        <v>45536</v>
      </c>
      <c r="C9" s="5">
        <f t="shared" si="0"/>
        <v>2</v>
      </c>
      <c r="H9" s="1"/>
    </row>
    <row r="10" spans="2:8">
      <c r="B10" s="1">
        <v>45579</v>
      </c>
      <c r="C10" s="5">
        <f t="shared" si="0"/>
        <v>3</v>
      </c>
      <c r="H10" s="1"/>
    </row>
    <row r="11" spans="2:8">
      <c r="B11" s="1">
        <v>45624</v>
      </c>
      <c r="C11" s="5">
        <f t="shared" si="0"/>
        <v>3</v>
      </c>
      <c r="H11" s="1"/>
    </row>
    <row r="12" spans="2:8">
      <c r="B12" s="1">
        <v>45650</v>
      </c>
      <c r="C12" s="5">
        <f t="shared" si="0"/>
        <v>3</v>
      </c>
      <c r="H12" s="1"/>
    </row>
    <row r="13" spans="2:8">
      <c r="B13" s="1">
        <v>45651</v>
      </c>
      <c r="C13" s="5">
        <f t="shared" si="0"/>
        <v>3</v>
      </c>
      <c r="H13" s="1"/>
    </row>
    <row r="14" spans="2:8">
      <c r="B14" s="1">
        <v>45657</v>
      </c>
      <c r="C14" s="5">
        <f t="shared" si="0"/>
        <v>3</v>
      </c>
      <c r="H14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F14"/>
  <sheetViews>
    <sheetView zoomScale="115" zoomScaleNormal="115" workbookViewId="0"/>
  </sheetViews>
  <sheetFormatPr defaultRowHeight="14.4"/>
  <cols>
    <col min="1" max="1" width="3.77734375" customWidth="1"/>
    <col min="2" max="2" width="10.6640625" bestFit="1" customWidth="1"/>
    <col min="3" max="3" width="32.44140625" style="5" customWidth="1"/>
    <col min="6" max="6" width="10.6640625" bestFit="1" customWidth="1"/>
    <col min="8" max="8" width="10.6640625" bestFit="1" customWidth="1"/>
  </cols>
  <sheetData>
    <row r="2" spans="2:6" ht="42">
      <c r="B2" s="29" t="s">
        <v>29</v>
      </c>
      <c r="C2" s="12" t="s">
        <v>32</v>
      </c>
      <c r="F2" s="5"/>
    </row>
    <row r="3" spans="2:6">
      <c r="B3" s="30">
        <v>45292</v>
      </c>
      <c r="C3" s="5" t="str">
        <f>TEXT(EOMONTH(B3-20,1),"mmm")</f>
        <v>Jan</v>
      </c>
      <c r="F3" s="4"/>
    </row>
    <row r="4" spans="2:6">
      <c r="B4" s="30">
        <v>45292</v>
      </c>
      <c r="C4" s="5" t="str">
        <f>TEXT(EOMONTH(B4-20,1),"mmm")</f>
        <v>Jan</v>
      </c>
    </row>
    <row r="5" spans="2:6">
      <c r="B5" s="30">
        <v>45312</v>
      </c>
      <c r="C5" s="5" t="str">
        <f t="shared" ref="C5:C11" si="0">TEXT(EOMONTH(B5-20,1),"mmm")</f>
        <v>Feb</v>
      </c>
    </row>
    <row r="6" spans="2:6">
      <c r="B6" s="30">
        <v>45371</v>
      </c>
      <c r="C6" s="5" t="str">
        <f t="shared" si="0"/>
        <v>Mar</v>
      </c>
    </row>
    <row r="7" spans="2:6">
      <c r="B7" s="30">
        <v>45382</v>
      </c>
      <c r="C7" s="5" t="str">
        <f t="shared" si="0"/>
        <v>Apr</v>
      </c>
    </row>
    <row r="8" spans="2:6">
      <c r="B8" s="30">
        <v>45403</v>
      </c>
      <c r="C8" s="5" t="str">
        <f t="shared" si="0"/>
        <v>May</v>
      </c>
    </row>
    <row r="9" spans="2:6">
      <c r="B9" s="30">
        <v>45463</v>
      </c>
      <c r="C9" s="5" t="str">
        <f t="shared" si="0"/>
        <v>Jun</v>
      </c>
    </row>
    <row r="10" spans="2:6">
      <c r="B10" s="30">
        <v>45464</v>
      </c>
      <c r="C10" s="5" t="str">
        <f t="shared" si="0"/>
        <v>Jul</v>
      </c>
    </row>
    <row r="11" spans="2:6">
      <c r="B11" s="30">
        <v>45494</v>
      </c>
      <c r="C11" s="5" t="str">
        <f t="shared" si="0"/>
        <v>Aug</v>
      </c>
    </row>
    <row r="12" spans="2:6">
      <c r="B12" s="30"/>
    </row>
    <row r="13" spans="2:6">
      <c r="B13" s="30"/>
    </row>
    <row r="14" spans="2:6">
      <c r="B14" s="30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E7"/>
  <sheetViews>
    <sheetView zoomScale="115" zoomScaleNormal="115" workbookViewId="0"/>
  </sheetViews>
  <sheetFormatPr defaultRowHeight="14.4"/>
  <cols>
    <col min="1" max="1" width="3.44140625" customWidth="1"/>
    <col min="2" max="2" width="12.109375" style="27" bestFit="1" customWidth="1"/>
    <col min="3" max="3" width="10.88671875" style="5" bestFit="1" customWidth="1"/>
    <col min="4" max="4" width="4.33203125" customWidth="1"/>
    <col min="5" max="5" width="11.6640625" bestFit="1" customWidth="1"/>
  </cols>
  <sheetData>
    <row r="3" spans="2:5">
      <c r="C3" s="32">
        <v>0.26072916666666668</v>
      </c>
      <c r="E3" s="32">
        <f>ROUNDDOWN("6:15:27 "*24/0.5,0)*(0.5/24)</f>
        <v>0.25</v>
      </c>
    </row>
    <row r="5" spans="2:5">
      <c r="B5" s="27" t="s">
        <v>50</v>
      </c>
      <c r="C5" s="31">
        <f>HOUR(C3)</f>
        <v>6</v>
      </c>
    </row>
    <row r="6" spans="2:5">
      <c r="B6" s="27" t="s">
        <v>48</v>
      </c>
      <c r="C6" s="31">
        <f>MINUTE(C3)</f>
        <v>15</v>
      </c>
    </row>
    <row r="7" spans="2:5">
      <c r="B7" s="27" t="s">
        <v>49</v>
      </c>
      <c r="C7" s="31">
        <f>SECOND(C3)</f>
        <v>27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J20"/>
  <sheetViews>
    <sheetView workbookViewId="0"/>
  </sheetViews>
  <sheetFormatPr defaultRowHeight="14.4"/>
  <cols>
    <col min="1" max="1" width="3.21875" customWidth="1"/>
    <col min="2" max="2" width="12.6640625" customWidth="1"/>
    <col min="3" max="3" width="14.33203125" bestFit="1" customWidth="1"/>
    <col min="4" max="4" width="35" style="11" customWidth="1"/>
    <col min="8" max="8" width="11.5546875" bestFit="1" customWidth="1"/>
    <col min="10" max="10" width="10.6640625" bestFit="1" customWidth="1"/>
  </cols>
  <sheetData>
    <row r="1" spans="2:8" ht="11.4" customHeight="1"/>
    <row r="2" spans="2:8" ht="13.2" customHeight="1"/>
    <row r="3" spans="2:8">
      <c r="B3" s="2" t="s">
        <v>33</v>
      </c>
      <c r="C3" s="2" t="s">
        <v>34</v>
      </c>
      <c r="D3" s="15" t="s">
        <v>35</v>
      </c>
    </row>
    <row r="4" spans="2:8">
      <c r="B4" s="14">
        <v>0.3735</v>
      </c>
      <c r="C4" s="14">
        <v>0.4199</v>
      </c>
      <c r="D4" s="16">
        <f>IF(C4&lt; B4, 1 + C4 - B4, C4 - B4)</f>
        <v>4.6399999999999997E-2</v>
      </c>
      <c r="H4" s="40"/>
    </row>
    <row r="5" spans="2:8">
      <c r="B5" s="14">
        <v>0.69120000000000004</v>
      </c>
      <c r="C5" s="14">
        <v>0.68289999999999995</v>
      </c>
      <c r="D5" s="16">
        <f>IF(C5&lt; B5, 1 + C5 - B5, C5 - B5)</f>
        <v>0.99170000000000003</v>
      </c>
    </row>
    <row r="6" spans="2:8">
      <c r="B6" s="14">
        <v>0.35039999999999999</v>
      </c>
      <c r="C6" s="14">
        <v>0.67679999999999996</v>
      </c>
      <c r="D6" s="16">
        <f t="shared" ref="D6:D20" si="0">IF(C6&lt; B6, 1 + C6 - B6, C6 - B6)</f>
        <v>0.32639999999999997</v>
      </c>
    </row>
    <row r="7" spans="2:8">
      <c r="B7" s="14">
        <v>0.63239999999999996</v>
      </c>
      <c r="C7" s="14">
        <v>0.41039999999999999</v>
      </c>
      <c r="D7" s="16">
        <f t="shared" si="0"/>
        <v>0.77800000000000014</v>
      </c>
    </row>
    <row r="8" spans="2:8">
      <c r="B8" s="14">
        <v>0.60650000000000004</v>
      </c>
      <c r="C8" s="14">
        <v>0.58460000000000001</v>
      </c>
      <c r="D8" s="16">
        <f t="shared" si="0"/>
        <v>0.97809999999999997</v>
      </c>
    </row>
    <row r="9" spans="2:8">
      <c r="B9" s="14">
        <v>0.3629</v>
      </c>
      <c r="C9" s="14">
        <v>0.4698</v>
      </c>
      <c r="D9" s="16">
        <f t="shared" si="0"/>
        <v>0.1069</v>
      </c>
    </row>
    <row r="10" spans="2:8">
      <c r="B10" s="14">
        <v>0.47249999999999998</v>
      </c>
      <c r="C10" s="14">
        <v>0.4002</v>
      </c>
      <c r="D10" s="16">
        <f t="shared" si="0"/>
        <v>0.92769999999999997</v>
      </c>
    </row>
    <row r="11" spans="2:8">
      <c r="B11" s="14">
        <v>0.66449999999999998</v>
      </c>
      <c r="C11" s="14">
        <v>0.58699999999999997</v>
      </c>
      <c r="D11" s="16">
        <f t="shared" si="0"/>
        <v>0.92249999999999999</v>
      </c>
    </row>
    <row r="12" spans="2:8">
      <c r="B12" s="14">
        <v>0.64810000000000001</v>
      </c>
      <c r="C12" s="14">
        <v>0.44869999999999999</v>
      </c>
      <c r="D12" s="16">
        <f t="shared" si="0"/>
        <v>0.80060000000000009</v>
      </c>
    </row>
    <row r="13" spans="2:8">
      <c r="B13" s="14">
        <v>0.52910000000000001</v>
      </c>
      <c r="C13" s="14">
        <v>0.55459999999999998</v>
      </c>
      <c r="D13" s="16">
        <f t="shared" si="0"/>
        <v>2.5499999999999967E-2</v>
      </c>
    </row>
    <row r="14" spans="2:8">
      <c r="B14" s="14">
        <v>0.48549999999999999</v>
      </c>
      <c r="C14" s="14">
        <v>0.47170000000000001</v>
      </c>
      <c r="D14" s="16">
        <f t="shared" si="0"/>
        <v>0.98619999999999997</v>
      </c>
    </row>
    <row r="15" spans="2:8">
      <c r="B15" s="14">
        <v>0.67800000000000005</v>
      </c>
      <c r="C15" s="14">
        <v>0.39750000000000002</v>
      </c>
      <c r="D15" s="16">
        <f t="shared" si="0"/>
        <v>0.71949999999999992</v>
      </c>
    </row>
    <row r="16" spans="2:8">
      <c r="B16" s="14">
        <v>0.34499999999999997</v>
      </c>
      <c r="C16" s="14">
        <v>0.60840000000000005</v>
      </c>
      <c r="D16" s="16">
        <f t="shared" si="0"/>
        <v>0.26340000000000008</v>
      </c>
    </row>
    <row r="17" spans="2:10">
      <c r="B17" s="14">
        <v>0.62929999999999997</v>
      </c>
      <c r="C17" s="14">
        <v>0.5615</v>
      </c>
      <c r="D17" s="16">
        <f t="shared" si="0"/>
        <v>0.93220000000000014</v>
      </c>
      <c r="J17" s="1"/>
    </row>
    <row r="18" spans="2:10">
      <c r="B18" s="14">
        <v>0.44140000000000001</v>
      </c>
      <c r="C18" s="14">
        <v>0.38350000000000001</v>
      </c>
      <c r="D18" s="16">
        <f t="shared" si="0"/>
        <v>0.94209999999999994</v>
      </c>
      <c r="J18" s="1"/>
    </row>
    <row r="19" spans="2:10">
      <c r="B19" s="14">
        <v>0.43209999999999998</v>
      </c>
      <c r="C19" s="14">
        <v>0.52849999999999997</v>
      </c>
      <c r="D19" s="16">
        <f t="shared" si="0"/>
        <v>9.6399999999999986E-2</v>
      </c>
    </row>
    <row r="20" spans="2:10">
      <c r="B20" s="14">
        <v>0.60899999999999999</v>
      </c>
      <c r="C20" s="14">
        <v>0.69679999999999997</v>
      </c>
      <c r="D20" s="16">
        <f t="shared" si="0"/>
        <v>8.7799999999999989E-2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F7"/>
  <sheetViews>
    <sheetView workbookViewId="0"/>
  </sheetViews>
  <sheetFormatPr defaultRowHeight="14.4"/>
  <cols>
    <col min="1" max="1" width="4.5546875" customWidth="1"/>
    <col min="2" max="3" width="14.33203125" customWidth="1"/>
    <col min="4" max="4" width="16.44140625" style="5" bestFit="1" customWidth="1"/>
    <col min="5" max="5" width="18.5546875" style="5" bestFit="1" customWidth="1"/>
    <col min="6" max="6" width="18.44140625" style="5" bestFit="1" customWidth="1"/>
  </cols>
  <sheetData>
    <row r="3" spans="2:6" s="20" customFormat="1" ht="28.8">
      <c r="B3" s="22" t="s">
        <v>33</v>
      </c>
      <c r="C3" s="22" t="s">
        <v>34</v>
      </c>
      <c r="D3" s="21" t="s">
        <v>35</v>
      </c>
      <c r="E3" s="22" t="s">
        <v>41</v>
      </c>
      <c r="F3" s="22" t="s">
        <v>42</v>
      </c>
    </row>
    <row r="4" spans="2:6">
      <c r="B4" s="24">
        <v>0.36749999999999999</v>
      </c>
      <c r="C4" s="24">
        <v>0.4194</v>
      </c>
      <c r="D4" s="23">
        <v>5.1900000000000002E-2</v>
      </c>
      <c r="E4" s="23">
        <f>ROUNDUP(C4*24/0.25,0)*(0.25/24)</f>
        <v>0.42708333333333331</v>
      </c>
      <c r="F4" s="23">
        <f>ROUNDDOWN(C4*24/0.5,0)*(0.5/24)</f>
        <v>0.41666666666666663</v>
      </c>
    </row>
    <row r="5" spans="2:6">
      <c r="B5" s="24">
        <v>0.45729999999999998</v>
      </c>
      <c r="C5" s="24">
        <v>0.42980000000000002</v>
      </c>
      <c r="D5" s="23">
        <v>0.97249999999999992</v>
      </c>
      <c r="E5" s="23">
        <f t="shared" ref="E5:E7" si="0">ROUNDUP(C5*24/0.25,0)*(0.25/24)</f>
        <v>0.4375</v>
      </c>
      <c r="F5" s="23">
        <f t="shared" ref="F5:F6" si="1">ROUNDDOWN(C5*24/0.5,0)*(0.5/24)</f>
        <v>0.41666666666666663</v>
      </c>
    </row>
    <row r="6" spans="2:6">
      <c r="B6" s="24">
        <v>0.39140000000000003</v>
      </c>
      <c r="C6" s="24">
        <v>0.57530000000000003</v>
      </c>
      <c r="D6" s="23">
        <v>0.18390000000000001</v>
      </c>
      <c r="E6" s="23">
        <f t="shared" si="0"/>
        <v>0.58333333333333326</v>
      </c>
      <c r="F6" s="23">
        <f t="shared" si="1"/>
        <v>0.5625</v>
      </c>
    </row>
    <row r="7" spans="2:6">
      <c r="B7" s="24">
        <v>0.36059999999999998</v>
      </c>
      <c r="C7" s="24">
        <v>0.69469999999999998</v>
      </c>
      <c r="D7" s="23">
        <v>0.33410000000000001</v>
      </c>
      <c r="E7" s="23">
        <f t="shared" si="0"/>
        <v>0.69791666666666663</v>
      </c>
      <c r="F7" s="23">
        <f>ROUNDDOWN(C7*24/0.5,0)*(0.5/24)</f>
        <v>0.6875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I19"/>
  <sheetViews>
    <sheetView workbookViewId="0"/>
  </sheetViews>
  <sheetFormatPr defaultRowHeight="14.4"/>
  <cols>
    <col min="1" max="1" width="3.5546875" customWidth="1"/>
    <col min="2" max="2" width="13.88671875" bestFit="1" customWidth="1"/>
    <col min="3" max="3" width="16.44140625" bestFit="1" customWidth="1"/>
    <col min="4" max="4" width="6.88671875" customWidth="1"/>
    <col min="5" max="5" width="16.109375" bestFit="1" customWidth="1"/>
    <col min="6" max="6" width="16.44140625" bestFit="1" customWidth="1"/>
    <col min="7" max="7" width="3.33203125" customWidth="1"/>
    <col min="8" max="8" width="16" bestFit="1" customWidth="1"/>
    <col min="9" max="9" width="16.44140625" bestFit="1" customWidth="1"/>
  </cols>
  <sheetData>
    <row r="2" spans="2:9">
      <c r="B2" s="2" t="s">
        <v>36</v>
      </c>
      <c r="C2" s="15" t="s">
        <v>51</v>
      </c>
      <c r="E2" s="2" t="s">
        <v>37</v>
      </c>
      <c r="F2" s="15" t="s">
        <v>39</v>
      </c>
      <c r="H2" s="2" t="s">
        <v>38</v>
      </c>
      <c r="I2" s="15" t="s">
        <v>39</v>
      </c>
    </row>
    <row r="3" spans="2:9">
      <c r="B3" s="8">
        <v>11.5</v>
      </c>
      <c r="C3" s="17">
        <f>B3/24</f>
        <v>0.47916666666666669</v>
      </c>
      <c r="E3" s="8">
        <v>398.32116819455723</v>
      </c>
      <c r="F3" s="17">
        <f>E3/1440</f>
        <v>0.2766119223573314</v>
      </c>
      <c r="H3" s="8">
        <v>312.81970632629157</v>
      </c>
      <c r="I3" s="17">
        <f>H3/86400</f>
        <v>3.6205984528505969E-3</v>
      </c>
    </row>
    <row r="4" spans="2:9">
      <c r="B4" s="8">
        <v>13.75</v>
      </c>
      <c r="C4" s="17">
        <f t="shared" ref="C4:C19" si="0">B4/24</f>
        <v>0.57291666666666663</v>
      </c>
      <c r="E4" s="8">
        <v>497.49286354812034</v>
      </c>
      <c r="F4" s="17">
        <f t="shared" ref="F4:F19" si="1">E4/1440</f>
        <v>0.34548115524175022</v>
      </c>
      <c r="H4" s="8">
        <v>148.84131755742615</v>
      </c>
      <c r="I4" s="17">
        <f t="shared" ref="I4:I19" si="2">H4/86400</f>
        <v>1.7227004346924324E-3</v>
      </c>
    </row>
    <row r="5" spans="2:9">
      <c r="B5" s="8">
        <v>18.25</v>
      </c>
      <c r="C5" s="17">
        <f t="shared" si="0"/>
        <v>0.76041666666666663</v>
      </c>
      <c r="E5" s="8">
        <v>271.78111178071089</v>
      </c>
      <c r="F5" s="17">
        <f t="shared" si="1"/>
        <v>0.18873688318104923</v>
      </c>
      <c r="H5" s="8">
        <v>479.49410255589476</v>
      </c>
      <c r="I5" s="17">
        <f t="shared" si="2"/>
        <v>5.5497002610635964E-3</v>
      </c>
    </row>
    <row r="6" spans="2:9">
      <c r="B6" s="8">
        <v>11.35</v>
      </c>
      <c r="C6" s="17">
        <f t="shared" si="0"/>
        <v>0.47291666666666665</v>
      </c>
      <c r="E6" s="8">
        <v>488.1519230096531</v>
      </c>
      <c r="F6" s="17">
        <f t="shared" si="1"/>
        <v>0.33899439097892575</v>
      </c>
      <c r="H6" s="8">
        <v>494.3458842202208</v>
      </c>
      <c r="I6" s="17">
        <f t="shared" si="2"/>
        <v>5.7215958821784816E-3</v>
      </c>
    </row>
    <row r="7" spans="2:9">
      <c r="B7" s="8">
        <v>12.45</v>
      </c>
      <c r="C7" s="17">
        <f t="shared" si="0"/>
        <v>0.51874999999999993</v>
      </c>
      <c r="E7" s="8">
        <v>588.86902830287909</v>
      </c>
      <c r="F7" s="17">
        <f t="shared" si="1"/>
        <v>0.4089368252103327</v>
      </c>
      <c r="H7" s="8">
        <v>208.20255878722989</v>
      </c>
      <c r="I7" s="17">
        <f t="shared" si="2"/>
        <v>2.4097518378151609E-3</v>
      </c>
    </row>
    <row r="8" spans="2:9">
      <c r="B8" s="8">
        <v>15.6</v>
      </c>
      <c r="C8" s="17">
        <f t="shared" si="0"/>
        <v>0.65</v>
      </c>
      <c r="E8" s="8">
        <v>104.56930793746307</v>
      </c>
      <c r="F8" s="17">
        <f t="shared" si="1"/>
        <v>7.2617574956571576E-2</v>
      </c>
      <c r="H8" s="8">
        <v>309.28193745091613</v>
      </c>
      <c r="I8" s="17">
        <f t="shared" si="2"/>
        <v>3.5796520538300476E-3</v>
      </c>
    </row>
    <row r="9" spans="2:9">
      <c r="B9" s="8">
        <v>18.36</v>
      </c>
      <c r="C9" s="17">
        <f t="shared" si="0"/>
        <v>0.76500000000000001</v>
      </c>
      <c r="E9" s="8">
        <v>437.07088859136547</v>
      </c>
      <c r="F9" s="17">
        <f t="shared" si="1"/>
        <v>0.30352145041067047</v>
      </c>
      <c r="H9" s="8">
        <v>520.04918682811456</v>
      </c>
      <c r="I9" s="17">
        <f t="shared" si="2"/>
        <v>6.0190878105105851E-3</v>
      </c>
    </row>
    <row r="10" spans="2:9">
      <c r="B10" s="8">
        <v>18.561599999999999</v>
      </c>
      <c r="C10" s="17">
        <f t="shared" si="0"/>
        <v>0.77339999999999998</v>
      </c>
      <c r="E10" s="8">
        <v>233.20004752066203</v>
      </c>
      <c r="F10" s="17">
        <f t="shared" si="1"/>
        <v>0.16194447744490417</v>
      </c>
      <c r="H10" s="8">
        <v>419.74425019265828</v>
      </c>
      <c r="I10" s="17">
        <f t="shared" si="2"/>
        <v>4.8581510438965077E-3</v>
      </c>
    </row>
    <row r="11" spans="2:9">
      <c r="B11" s="8">
        <v>21.830400000000004</v>
      </c>
      <c r="C11" s="17">
        <f t="shared" si="0"/>
        <v>0.90960000000000019</v>
      </c>
      <c r="E11" s="8">
        <v>141.27983843463122</v>
      </c>
      <c r="F11" s="17">
        <f t="shared" si="1"/>
        <v>9.8110998912938341E-2</v>
      </c>
      <c r="H11" s="8">
        <v>198.66214596312491</v>
      </c>
      <c r="I11" s="17">
        <f t="shared" si="2"/>
        <v>2.2993303930917237E-3</v>
      </c>
    </row>
    <row r="12" spans="2:9">
      <c r="B12" s="8">
        <v>19.2288</v>
      </c>
      <c r="C12" s="17">
        <f t="shared" si="0"/>
        <v>0.80120000000000002</v>
      </c>
      <c r="E12" s="8">
        <v>12.958164612929846</v>
      </c>
      <c r="F12" s="17">
        <f t="shared" si="1"/>
        <v>8.9987254256457261E-3</v>
      </c>
      <c r="H12" s="8">
        <v>390.45289421844188</v>
      </c>
      <c r="I12" s="17">
        <f t="shared" si="2"/>
        <v>4.519130720120855E-3</v>
      </c>
    </row>
    <row r="13" spans="2:9">
      <c r="B13" s="8">
        <v>20.82</v>
      </c>
      <c r="C13" s="17">
        <f t="shared" si="0"/>
        <v>0.86750000000000005</v>
      </c>
      <c r="E13" s="8">
        <v>184.6834338478551</v>
      </c>
      <c r="F13" s="17">
        <f t="shared" si="1"/>
        <v>0.12825238461656605</v>
      </c>
      <c r="H13" s="8">
        <v>93.029368150461053</v>
      </c>
      <c r="I13" s="17">
        <f t="shared" si="2"/>
        <v>1.0767287980377436E-3</v>
      </c>
    </row>
    <row r="14" spans="2:9">
      <c r="B14" s="8">
        <v>22.298400000000001</v>
      </c>
      <c r="C14" s="17">
        <f t="shared" si="0"/>
        <v>0.92910000000000004</v>
      </c>
      <c r="E14" s="8">
        <v>412.80931520103599</v>
      </c>
      <c r="F14" s="17">
        <f t="shared" si="1"/>
        <v>0.28667313555627499</v>
      </c>
      <c r="H14" s="8">
        <v>394.03832960100812</v>
      </c>
      <c r="I14" s="17">
        <f t="shared" si="2"/>
        <v>4.5606288148264829E-3</v>
      </c>
    </row>
    <row r="15" spans="2:9">
      <c r="B15" s="8">
        <v>21.592799999999997</v>
      </c>
      <c r="C15" s="17">
        <f t="shared" si="0"/>
        <v>0.89969999999999983</v>
      </c>
      <c r="E15" s="8">
        <v>588.27332317066612</v>
      </c>
      <c r="F15" s="17">
        <f t="shared" si="1"/>
        <v>0.40852314109074034</v>
      </c>
      <c r="H15" s="8">
        <v>17.257396411776483</v>
      </c>
      <c r="I15" s="17">
        <f t="shared" si="2"/>
        <v>1.9973838439556115E-4</v>
      </c>
    </row>
    <row r="16" spans="2:9">
      <c r="B16" s="8">
        <v>21.139200000000002</v>
      </c>
      <c r="C16" s="17">
        <f t="shared" si="0"/>
        <v>0.88080000000000014</v>
      </c>
      <c r="E16" s="8">
        <v>417.24676919698663</v>
      </c>
      <c r="F16" s="17">
        <f t="shared" si="1"/>
        <v>0.28975470083124072</v>
      </c>
      <c r="H16" s="8">
        <v>145.61244097417421</v>
      </c>
      <c r="I16" s="17">
        <f t="shared" si="2"/>
        <v>1.6853291779418311E-3</v>
      </c>
    </row>
    <row r="17" spans="2:9">
      <c r="B17" s="8">
        <v>22.982399999999998</v>
      </c>
      <c r="C17" s="17">
        <f t="shared" si="0"/>
        <v>0.9575999999999999</v>
      </c>
      <c r="E17" s="8">
        <v>177.50313944075239</v>
      </c>
      <c r="F17" s="17">
        <f t="shared" si="1"/>
        <v>0.12326606905607805</v>
      </c>
      <c r="H17" s="8">
        <v>195.51852163035494</v>
      </c>
      <c r="I17" s="17">
        <f t="shared" si="2"/>
        <v>2.2629458522031823E-3</v>
      </c>
    </row>
    <row r="18" spans="2:9">
      <c r="B18" s="8">
        <v>20.851199999999999</v>
      </c>
      <c r="C18" s="17">
        <f t="shared" si="0"/>
        <v>0.86879999999999991</v>
      </c>
      <c r="E18" s="8">
        <v>368.8443036484569</v>
      </c>
      <c r="F18" s="17">
        <f t="shared" si="1"/>
        <v>0.25614187753365064</v>
      </c>
      <c r="H18" s="8">
        <v>81.073966282064518</v>
      </c>
      <c r="I18" s="17">
        <f t="shared" si="2"/>
        <v>9.3835609122759861E-4</v>
      </c>
    </row>
    <row r="19" spans="2:9">
      <c r="B19" s="8">
        <v>17.455200000000005</v>
      </c>
      <c r="C19" s="17">
        <f t="shared" si="0"/>
        <v>0.72730000000000017</v>
      </c>
      <c r="E19" s="8">
        <v>167.17007392219932</v>
      </c>
      <c r="F19" s="17">
        <f t="shared" si="1"/>
        <v>0.11609032911263842</v>
      </c>
      <c r="H19" s="8">
        <v>201.51266821223109</v>
      </c>
      <c r="I19" s="17">
        <f t="shared" si="2"/>
        <v>2.3323225487526748E-3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3:G20"/>
  <sheetViews>
    <sheetView workbookViewId="0">
      <selection activeCell="D4" sqref="D4"/>
    </sheetView>
  </sheetViews>
  <sheetFormatPr defaultRowHeight="14.4"/>
  <cols>
    <col min="1" max="2" width="2.44140625" customWidth="1"/>
    <col min="3" max="3" width="11.5546875" style="5" bestFit="1" customWidth="1"/>
    <col min="4" max="4" width="39.88671875" style="5" bestFit="1" customWidth="1"/>
    <col min="6" max="6" width="11.5546875" bestFit="1" customWidth="1"/>
  </cols>
  <sheetData>
    <row r="3" spans="3:7">
      <c r="C3" s="3" t="s">
        <v>33</v>
      </c>
      <c r="D3" s="3" t="s">
        <v>40</v>
      </c>
    </row>
    <row r="4" spans="3:7">
      <c r="C4" s="18">
        <f t="shared" ref="C4:C20" ca="1" si="0">RANDBETWEEN(TIME(8,0,0)*10000,TIME(17,0,0)*10000)/10000</f>
        <v>0.628</v>
      </c>
      <c r="D4" s="19">
        <f ca="1">C4+TIME(5,30,0)</f>
        <v>0.85716666666666663</v>
      </c>
      <c r="F4" s="19"/>
      <c r="G4" s="33"/>
    </row>
    <row r="5" spans="3:7">
      <c r="C5" s="18">
        <f t="shared" ca="1" si="0"/>
        <v>0.53310000000000002</v>
      </c>
      <c r="D5" s="19">
        <f t="shared" ref="D5:D20" ca="1" si="1">C5+TIME(5,30,0)</f>
        <v>0.76226666666666665</v>
      </c>
    </row>
    <row r="6" spans="3:7">
      <c r="C6" s="18">
        <f t="shared" ca="1" si="0"/>
        <v>0.65529999999999999</v>
      </c>
      <c r="D6" s="19">
        <f t="shared" ca="1" si="1"/>
        <v>0.88446666666666662</v>
      </c>
    </row>
    <row r="7" spans="3:7">
      <c r="C7" s="18">
        <f t="shared" ca="1" si="0"/>
        <v>0.57889999999999997</v>
      </c>
      <c r="D7" s="19">
        <f t="shared" ca="1" si="1"/>
        <v>0.8080666666666666</v>
      </c>
    </row>
    <row r="8" spans="3:7">
      <c r="C8" s="18">
        <f t="shared" ca="1" si="0"/>
        <v>0.66800000000000004</v>
      </c>
      <c r="D8" s="19">
        <f t="shared" ca="1" si="1"/>
        <v>0.89716666666666667</v>
      </c>
    </row>
    <row r="9" spans="3:7">
      <c r="C9" s="18">
        <f t="shared" ca="1" si="0"/>
        <v>0.47389999999999999</v>
      </c>
      <c r="D9" s="19">
        <f t="shared" ca="1" si="1"/>
        <v>0.70306666666666662</v>
      </c>
    </row>
    <row r="10" spans="3:7">
      <c r="C10" s="18">
        <f t="shared" ca="1" si="0"/>
        <v>0.38290000000000002</v>
      </c>
      <c r="D10" s="19">
        <f t="shared" ca="1" si="1"/>
        <v>0.61206666666666665</v>
      </c>
    </row>
    <row r="11" spans="3:7">
      <c r="C11" s="18">
        <f t="shared" ca="1" si="0"/>
        <v>0.6109</v>
      </c>
      <c r="D11" s="19">
        <f t="shared" ca="1" si="1"/>
        <v>0.84006666666666663</v>
      </c>
    </row>
    <row r="12" spans="3:7">
      <c r="C12" s="18">
        <f t="shared" ca="1" si="0"/>
        <v>0.60250000000000004</v>
      </c>
      <c r="D12" s="19">
        <f t="shared" ca="1" si="1"/>
        <v>0.83166666666666667</v>
      </c>
    </row>
    <row r="13" spans="3:7">
      <c r="C13" s="18">
        <f t="shared" ca="1" si="0"/>
        <v>0.41660000000000003</v>
      </c>
      <c r="D13" s="19">
        <f t="shared" ca="1" si="1"/>
        <v>0.64576666666666671</v>
      </c>
    </row>
    <row r="14" spans="3:7">
      <c r="C14" s="18">
        <f t="shared" ca="1" si="0"/>
        <v>0.42480000000000001</v>
      </c>
      <c r="D14" s="19">
        <f t="shared" ca="1" si="1"/>
        <v>0.6539666666666667</v>
      </c>
    </row>
    <row r="15" spans="3:7">
      <c r="C15" s="18">
        <f t="shared" ca="1" si="0"/>
        <v>0.64500000000000002</v>
      </c>
      <c r="D15" s="19">
        <f t="shared" ca="1" si="1"/>
        <v>0.87416666666666665</v>
      </c>
    </row>
    <row r="16" spans="3:7">
      <c r="C16" s="18">
        <f t="shared" ca="1" si="0"/>
        <v>0.42320000000000002</v>
      </c>
      <c r="D16" s="19">
        <f t="shared" ca="1" si="1"/>
        <v>0.65236666666666665</v>
      </c>
    </row>
    <row r="17" spans="3:4">
      <c r="C17" s="18">
        <f t="shared" ca="1" si="0"/>
        <v>0.48749999999999999</v>
      </c>
      <c r="D17" s="19">
        <f t="shared" ca="1" si="1"/>
        <v>0.71666666666666667</v>
      </c>
    </row>
    <row r="18" spans="3:4">
      <c r="C18" s="18">
        <f t="shared" ca="1" si="0"/>
        <v>0.45500000000000002</v>
      </c>
      <c r="D18" s="19">
        <f t="shared" ca="1" si="1"/>
        <v>0.6841666666666667</v>
      </c>
    </row>
    <row r="19" spans="3:4">
      <c r="C19" s="18">
        <f t="shared" ca="1" si="0"/>
        <v>0.52370000000000005</v>
      </c>
      <c r="D19" s="19">
        <f t="shared" ca="1" si="1"/>
        <v>0.75286666666666668</v>
      </c>
    </row>
    <row r="20" spans="3:4">
      <c r="C20" s="18">
        <f t="shared" ca="1" si="0"/>
        <v>0.33889999999999998</v>
      </c>
      <c r="D20" s="19">
        <f t="shared" ca="1" si="1"/>
        <v>0.56806666666666661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5AACE37FBEB47993871D77E7DB091" ma:contentTypeVersion="11" ma:contentTypeDescription="Create a new document." ma:contentTypeScope="" ma:versionID="fc86b20a15467067b16ea1cf7181cf03">
  <xsd:schema xmlns:xsd="http://www.w3.org/2001/XMLSchema" xmlns:xs="http://www.w3.org/2001/XMLSchema" xmlns:p="http://schemas.microsoft.com/office/2006/metadata/properties" xmlns:ns2="f275c51b-b714-4ced-942f-dc89e3262868" xmlns:ns3="2c617200-7aba-460d-beb6-6421e9ea8436" targetNamespace="http://schemas.microsoft.com/office/2006/metadata/properties" ma:root="true" ma:fieldsID="e38d2b95d048ce06b9a3b7fb744f140f" ns2:_="" ns3:_="">
    <xsd:import namespace="f275c51b-b714-4ced-942f-dc89e3262868"/>
    <xsd:import namespace="2c617200-7aba-460d-beb6-6421e9ea8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5c51b-b714-4ced-942f-dc89e32628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17200-7aba-460d-beb6-6421e9ea84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b4f89-36e2-43c8-81a4-7b4f3269eb99}" ma:internalName="TaxCatchAll" ma:showField="CatchAllData" ma:web="2c617200-7aba-460d-beb6-6421e9ea84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17200-7aba-460d-beb6-6421e9ea8436" xsi:nil="true"/>
    <lcf76f155ced4ddcb4097134ff3c332f xmlns="f275c51b-b714-4ced-942f-dc89e326286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8E8537-FBA8-4F07-8EAC-2BDA64C49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75c51b-b714-4ced-942f-dc89e3262868"/>
    <ds:schemaRef ds:uri="2c617200-7aba-460d-beb6-6421e9ea8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BBC441-A63B-43CF-BA0A-E496125ECC13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D4157A87-A1A4-4694-A288-66C4ED85988D}">
  <ds:schemaRefs>
    <ds:schemaRef ds:uri="http://schemas.microsoft.com/office/2006/metadata/properties"/>
    <ds:schemaRef ds:uri="http://schemas.microsoft.com/office/infopath/2007/PartnerControls"/>
    <ds:schemaRef ds:uri="2c617200-7aba-460d-beb6-6421e9ea8436"/>
    <ds:schemaRef ds:uri="f275c51b-b714-4ced-942f-dc89e3262868"/>
  </ds:schemaRefs>
</ds:datastoreItem>
</file>

<file path=customXml/itemProps4.xml><?xml version="1.0" encoding="utf-8"?>
<ds:datastoreItem xmlns:ds="http://schemas.openxmlformats.org/officeDocument/2006/customXml" ds:itemID="{31F44BA7-CC9F-47B4-957D-45DA77BE27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TODAY function</vt:lpstr>
      <vt:lpstr>Calculating Age</vt:lpstr>
      <vt:lpstr>Figure 11.14</vt:lpstr>
      <vt:lpstr>Figure 11.15</vt:lpstr>
      <vt:lpstr>Figure 11.16</vt:lpstr>
      <vt:lpstr>Figure 11.17 and 11.18</vt:lpstr>
      <vt:lpstr>Figure 11.19</vt:lpstr>
      <vt:lpstr>Figure 11.20</vt:lpstr>
      <vt:lpstr>Figure 11.21</vt:lpstr>
      <vt:lpstr>Figure 11.22</vt:lpstr>
      <vt:lpstr>Figure 11.23</vt:lpstr>
      <vt:lpstr>Figure 11.24</vt:lpstr>
      <vt:lpstr>Figure 11.25</vt:lpstr>
      <vt:lpstr>Figure 11.26</vt:lpstr>
      <vt:lpstr>Figure 11.27</vt:lpstr>
      <vt:lpstr>Figure11.28</vt:lpstr>
      <vt:lpstr>Figure 11.29</vt:lpstr>
      <vt:lpstr>Figure 11.30</vt:lpstr>
      <vt:lpstr>Figure 11.31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Isha Bhatta</cp:lastModifiedBy>
  <dcterms:created xsi:type="dcterms:W3CDTF">2013-10-28T00:19:55Z</dcterms:created>
  <dcterms:modified xsi:type="dcterms:W3CDTF">2026-04-03T01:19:09Z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db608-ddec-4a44-8ad7-7d5a79b7448e_Enabled">
    <vt:lpwstr>true</vt:lpwstr>
  </property>
  <property fmtid="{D5CDD505-2E9C-101B-9397-08002B2CF9AE}" pid="3" name="MSIP_Label_6e4db608-ddec-4a44-8ad7-7d5a79b7448e_SetDate">
    <vt:lpwstr>2021-08-31T01:05:54Z</vt:lpwstr>
  </property>
  <property fmtid="{D5CDD505-2E9C-101B-9397-08002B2CF9AE}" pid="4" name="MSIP_Label_6e4db608-ddec-4a44-8ad7-7d5a79b7448e_Method">
    <vt:lpwstr>Standard</vt:lpwstr>
  </property>
  <property fmtid="{D5CDD505-2E9C-101B-9397-08002B2CF9AE}" pid="5" name="MSIP_Label_6e4db608-ddec-4a44-8ad7-7d5a79b7448e_Name">
    <vt:lpwstr>Internal</vt:lpwstr>
  </property>
  <property fmtid="{D5CDD505-2E9C-101B-9397-08002B2CF9AE}" pid="6" name="MSIP_Label_6e4db608-ddec-4a44-8ad7-7d5a79b7448e_SiteId">
    <vt:lpwstr>fd799da1-bfc1-4234-a91c-72b3a1cb9e26</vt:lpwstr>
  </property>
  <property fmtid="{D5CDD505-2E9C-101B-9397-08002B2CF9AE}" pid="7" name="MSIP_Label_6e4db608-ddec-4a44-8ad7-7d5a79b7448e_ActionId">
    <vt:lpwstr>3928ec20-f445-40a1-9fa5-adba2831ce3c</vt:lpwstr>
  </property>
  <property fmtid="{D5CDD505-2E9C-101B-9397-08002B2CF9AE}" pid="8" name="MSIP_Label_6e4db608-ddec-4a44-8ad7-7d5a79b7448e_ContentBits">
    <vt:lpwstr>0</vt:lpwstr>
  </property>
  <property fmtid="{D5CDD505-2E9C-101B-9397-08002B2CF9AE}" pid="9" name="ContentTypeId">
    <vt:lpwstr>0x0101007025AACE37FBEB47993871D77E7DB091</vt:lpwstr>
  </property>
</Properties>
</file>