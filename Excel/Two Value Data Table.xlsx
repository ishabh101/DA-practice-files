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showInkAnnotation="0" defaultThemeVersion="123820"/>
  <mc:AlternateContent xmlns:mc="http://schemas.openxmlformats.org/markup-compatibility/2006">
    <mc:Choice Requires="x15">
      <x15ac:absPath xmlns:x15ac="http://schemas.microsoft.com/office/spreadsheetml/2010/11/ac" url="https://d.docs.live.net/8b058a3b9b2a2950/Excel/"/>
    </mc:Choice>
  </mc:AlternateContent>
  <xr:revisionPtr revIDLastSave="40" documentId="11_41DA4FB775C3BA063304196271F4F3E64AA65FE8" xr6:coauthVersionLast="47" xr6:coauthVersionMax="47" xr10:uidLastSave="{7CE586A7-5B11-44FB-BFB0-A3658C03DAB4}"/>
  <bookViews>
    <workbookView xWindow="-108" yWindow="-108" windowWidth="23256" windowHeight="12456" xr2:uid="{00000000-000D-0000-FFFF-FFFF00000000}"/>
  </bookViews>
  <sheets>
    <sheet name="Sheet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I4" i="1" s="1"/>
  <c r="J4" i="1" s="1"/>
  <c r="K4" i="1" s="1"/>
  <c r="G4" i="1"/>
  <c r="E7" i="1"/>
  <c r="E8" i="1"/>
  <c r="E9" i="1" s="1"/>
  <c r="E10" i="1" s="1"/>
  <c r="E11" i="1" s="1"/>
  <c r="E12" i="1" s="1"/>
  <c r="E13" i="1" s="1"/>
  <c r="E14" i="1" s="1"/>
  <c r="E6" i="1"/>
  <c r="C10" i="1"/>
  <c r="C12" i="1" s="1"/>
  <c r="C8" i="1"/>
  <c r="C13" i="1" s="1"/>
  <c r="C14" i="1" l="1"/>
  <c r="E4" i="1" s="1"/>
</calcChain>
</file>

<file path=xl/sharedStrings.xml><?xml version="1.0" encoding="utf-8"?>
<sst xmlns="http://schemas.openxmlformats.org/spreadsheetml/2006/main" count="12" uniqueCount="12">
  <si>
    <t>Response rate:</t>
  </si>
  <si>
    <t>Number mailed:</t>
  </si>
  <si>
    <t>Printing costs per unit:</t>
  </si>
  <si>
    <t>Mailing costs per unit:</t>
  </si>
  <si>
    <t>Responses:</t>
  </si>
  <si>
    <t>Profit per response:</t>
  </si>
  <si>
    <t>Gross profit:</t>
  </si>
  <si>
    <t>Printing + mailing costs:</t>
  </si>
  <si>
    <t>Net Profit</t>
  </si>
  <si>
    <t>Input Cells</t>
  </si>
  <si>
    <t>Direct Mail Profit Model</t>
  </si>
  <si>
    <t>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</si>
</sst>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5" formatCode="_(* #,##0_);_(* \(#,##0\);_(* &quot;-&quot;??_);_(@_)"/>
    <numFmt numFmtId="169" formatCode="&quot;$&quot;#,##0.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10" fontId="0" fillId="0" borderId="0" xfId="0" applyNumberFormat="1"/>
    <xf numFmtId="0" fontId="2" fillId="0" borderId="0" xfId="0" applyFont="1" applyAlignment="1">
      <alignment horizontal="center"/>
    </xf>
    <xf numFmtId="3" fontId="0" fillId="0" borderId="1" xfId="0" applyNumberFormat="1" applyBorder="1"/>
    <xf numFmtId="10" fontId="0" fillId="0" borderId="1" xfId="0" applyNumberFormat="1" applyBorder="1"/>
    <xf numFmtId="8" fontId="0" fillId="0" borderId="1" xfId="0" applyNumberFormat="1" applyBorder="1"/>
    <xf numFmtId="165" fontId="0" fillId="0" borderId="1" xfId="1" applyNumberFormat="1" applyFont="1" applyBorder="1"/>
    <xf numFmtId="6" fontId="0" fillId="0" borderId="1" xfId="0" applyNumberFormat="1" applyBorder="1"/>
    <xf numFmtId="0" fontId="0" fillId="0" borderId="1" xfId="0" applyBorder="1" applyAlignment="1">
      <alignment horizontal="left" indent="1"/>
    </xf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3" fontId="0" fillId="0" borderId="0" xfId="0" applyNumberFormat="1"/>
    <xf numFmtId="169" fontId="0" fillId="0" borderId="0" xfId="0" applyNumberFormat="1"/>
    <xf numFmtId="169" fontId="0" fillId="4" borderId="0" xfId="0" applyNumberFormat="1" applyFill="1"/>
    <xf numFmtId="169" fontId="0" fillId="3" borderId="0" xfId="0" applyNumberFormat="1" applyFill="1"/>
    <xf numFmtId="8" fontId="0" fillId="0" borderId="0" xfId="0" applyNumberFormat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4"/>
  <sheetViews>
    <sheetView showGridLines="0" tabSelected="1" workbookViewId="0">
      <selection activeCell="F1" sqref="F1"/>
    </sheetView>
  </sheetViews>
  <sheetFormatPr defaultRowHeight="14.4" x14ac:dyDescent="0.3"/>
  <cols>
    <col min="1" max="1" width="3.109375" customWidth="1"/>
    <col min="2" max="2" width="23" customWidth="1"/>
    <col min="3" max="3" width="10.109375" customWidth="1"/>
    <col min="4" max="4" width="9" bestFit="1" customWidth="1"/>
    <col min="5" max="5" width="11" bestFit="1" customWidth="1"/>
    <col min="6" max="6" width="11.109375" bestFit="1" customWidth="1"/>
    <col min="7" max="11" width="11.5546875" bestFit="1" customWidth="1"/>
    <col min="12" max="14" width="9.44140625" customWidth="1"/>
  </cols>
  <sheetData>
    <row r="1" spans="2:12" ht="18" x14ac:dyDescent="0.35">
      <c r="B1" s="9" t="s">
        <v>10</v>
      </c>
      <c r="C1" s="9"/>
      <c r="D1" s="2"/>
    </row>
    <row r="3" spans="2:12" x14ac:dyDescent="0.3">
      <c r="B3" s="10" t="s">
        <v>9</v>
      </c>
      <c r="C3" s="10"/>
    </row>
    <row r="4" spans="2:12" x14ac:dyDescent="0.3">
      <c r="B4" s="8" t="s">
        <v>1</v>
      </c>
      <c r="C4" s="3">
        <v>275000</v>
      </c>
      <c r="E4" s="12">
        <f>C14</f>
        <v>8937.4999999999854</v>
      </c>
      <c r="F4" s="13">
        <v>50000</v>
      </c>
      <c r="G4" s="13">
        <f>F4+50000</f>
        <v>100000</v>
      </c>
      <c r="H4" s="13">
        <f t="shared" ref="H4:L4" si="0">G4+50000</f>
        <v>150000</v>
      </c>
      <c r="I4" s="13">
        <f t="shared" si="0"/>
        <v>200000</v>
      </c>
      <c r="J4" s="13">
        <f t="shared" si="0"/>
        <v>250000</v>
      </c>
      <c r="K4" s="13">
        <f t="shared" si="0"/>
        <v>300000</v>
      </c>
      <c r="L4" s="11"/>
    </row>
    <row r="5" spans="2:12" x14ac:dyDescent="0.3">
      <c r="B5" s="8" t="s">
        <v>0</v>
      </c>
      <c r="C5" s="4">
        <v>2.5000000000000001E-2</v>
      </c>
      <c r="E5" s="14">
        <v>1.4999999999999999E-2</v>
      </c>
      <c r="F5" s="15">
        <f t="dataTable" ref="F5:K14" dt2D="1" dtr="1" r1="C4" r2="C5"/>
        <v>-10125.000000000004</v>
      </c>
      <c r="G5" s="15">
        <v>-20250.000000000007</v>
      </c>
      <c r="H5" s="15">
        <v>-30375</v>
      </c>
      <c r="I5" s="15">
        <v>-30500.000000000015</v>
      </c>
      <c r="J5" s="15">
        <v>-38125.000000000015</v>
      </c>
      <c r="K5" s="15">
        <v>-30750</v>
      </c>
    </row>
    <row r="6" spans="2:12" x14ac:dyDescent="0.3">
      <c r="C6" s="1"/>
      <c r="E6" s="14">
        <f>E5+1%</f>
        <v>2.5000000000000001E-2</v>
      </c>
      <c r="F6" s="15">
        <v>-875.00000000000364</v>
      </c>
      <c r="G6" s="15">
        <v>-1750.0000000000073</v>
      </c>
      <c r="H6" s="15">
        <v>-2625</v>
      </c>
      <c r="I6" s="15">
        <v>6499.9999999999854</v>
      </c>
      <c r="J6" s="15">
        <v>8124.9999999999854</v>
      </c>
      <c r="K6" s="15">
        <v>24750</v>
      </c>
    </row>
    <row r="7" spans="2:12" x14ac:dyDescent="0.3">
      <c r="B7" s="10" t="s">
        <v>11</v>
      </c>
      <c r="C7" s="10"/>
      <c r="E7" s="14">
        <f t="shared" ref="E7:E14" si="1">E6+1%</f>
        <v>3.5000000000000003E-2</v>
      </c>
      <c r="F7" s="15">
        <v>8375</v>
      </c>
      <c r="G7" s="15">
        <v>16750</v>
      </c>
      <c r="H7" s="15">
        <v>25125.000000000015</v>
      </c>
      <c r="I7" s="15">
        <v>43500</v>
      </c>
      <c r="J7" s="15">
        <v>54374.999999999985</v>
      </c>
      <c r="K7" s="15">
        <v>80250.000000000029</v>
      </c>
    </row>
    <row r="8" spans="2:12" x14ac:dyDescent="0.3">
      <c r="B8" s="8" t="s">
        <v>2</v>
      </c>
      <c r="C8" s="5">
        <f>IF(C4&lt;200000,0.2,IF(C4&lt;300000,0.15,0.1))</f>
        <v>0.15</v>
      </c>
      <c r="E8" s="14">
        <f t="shared" si="1"/>
        <v>4.5000000000000005E-2</v>
      </c>
      <c r="F8" s="15">
        <v>17625.000000000004</v>
      </c>
      <c r="G8" s="15">
        <v>35250.000000000007</v>
      </c>
      <c r="H8" s="15">
        <v>52875.000000000015</v>
      </c>
      <c r="I8" s="15">
        <v>80500.000000000015</v>
      </c>
      <c r="J8" s="15">
        <v>100625.00000000001</v>
      </c>
      <c r="K8" s="15">
        <v>135750.00000000003</v>
      </c>
    </row>
    <row r="9" spans="2:12" x14ac:dyDescent="0.3">
      <c r="B9" s="8" t="s">
        <v>3</v>
      </c>
      <c r="C9" s="5">
        <v>0.28000000000000003</v>
      </c>
      <c r="E9" s="14">
        <f t="shared" si="1"/>
        <v>5.5000000000000007E-2</v>
      </c>
      <c r="F9" s="15">
        <v>26875.000000000004</v>
      </c>
      <c r="G9" s="15">
        <v>53750.000000000007</v>
      </c>
      <c r="H9" s="15">
        <v>80625.000000000029</v>
      </c>
      <c r="I9" s="15">
        <v>117500.00000000001</v>
      </c>
      <c r="J9" s="15">
        <v>146875</v>
      </c>
      <c r="K9" s="15">
        <v>191250.00000000006</v>
      </c>
    </row>
    <row r="10" spans="2:12" x14ac:dyDescent="0.3">
      <c r="B10" s="8" t="s">
        <v>4</v>
      </c>
      <c r="C10" s="6">
        <f>C4*C5</f>
        <v>6875</v>
      </c>
      <c r="E10" s="14">
        <f t="shared" si="1"/>
        <v>6.5000000000000002E-2</v>
      </c>
      <c r="F10" s="15">
        <v>36125</v>
      </c>
      <c r="G10" s="15">
        <v>72250</v>
      </c>
      <c r="H10" s="15">
        <v>108375</v>
      </c>
      <c r="I10" s="15">
        <v>154500</v>
      </c>
      <c r="J10" s="15">
        <v>193125</v>
      </c>
      <c r="K10" s="15">
        <v>246750</v>
      </c>
    </row>
    <row r="11" spans="2:12" x14ac:dyDescent="0.3">
      <c r="B11" s="8" t="s">
        <v>5</v>
      </c>
      <c r="C11" s="5">
        <v>18.5</v>
      </c>
      <c r="E11" s="14">
        <f t="shared" si="1"/>
        <v>7.4999999999999997E-2</v>
      </c>
      <c r="F11" s="15">
        <v>45375</v>
      </c>
      <c r="G11" s="15">
        <v>90750</v>
      </c>
      <c r="H11" s="15">
        <v>136125</v>
      </c>
      <c r="I11" s="15">
        <v>191500</v>
      </c>
      <c r="J11" s="15">
        <v>239375</v>
      </c>
      <c r="K11" s="15">
        <v>302250</v>
      </c>
    </row>
    <row r="12" spans="2:12" x14ac:dyDescent="0.3">
      <c r="B12" s="8" t="s">
        <v>6</v>
      </c>
      <c r="C12" s="7">
        <f>C11*C10</f>
        <v>127187.5</v>
      </c>
      <c r="E12" s="14">
        <f t="shared" si="1"/>
        <v>8.4999999999999992E-2</v>
      </c>
      <c r="F12" s="15">
        <v>54625</v>
      </c>
      <c r="G12" s="15">
        <v>109250</v>
      </c>
      <c r="H12" s="15">
        <v>163874.99999999997</v>
      </c>
      <c r="I12" s="15">
        <v>228500</v>
      </c>
      <c r="J12" s="15">
        <v>285624.99999999994</v>
      </c>
      <c r="K12" s="15">
        <v>357749.99999999994</v>
      </c>
    </row>
    <row r="13" spans="2:12" x14ac:dyDescent="0.3">
      <c r="B13" s="8" t="s">
        <v>7</v>
      </c>
      <c r="C13" s="7">
        <f>(C9+C8)*C4</f>
        <v>118250.00000000001</v>
      </c>
      <c r="E13" s="14">
        <f t="shared" si="1"/>
        <v>9.4999999999999987E-2</v>
      </c>
      <c r="F13" s="15">
        <v>63874.999999999985</v>
      </c>
      <c r="G13" s="15">
        <v>127749.99999999997</v>
      </c>
      <c r="H13" s="15">
        <v>191624.99999999994</v>
      </c>
      <c r="I13" s="15">
        <v>265499.99999999994</v>
      </c>
      <c r="J13" s="15">
        <v>331874.99999999994</v>
      </c>
      <c r="K13" s="15">
        <v>413249.99999999988</v>
      </c>
    </row>
    <row r="14" spans="2:12" x14ac:dyDescent="0.3">
      <c r="B14" s="8" t="s">
        <v>8</v>
      </c>
      <c r="C14" s="7">
        <f>C12-C13</f>
        <v>8937.4999999999854</v>
      </c>
      <c r="E14" s="14">
        <f t="shared" si="1"/>
        <v>0.10499999999999998</v>
      </c>
      <c r="F14" s="15">
        <v>73124.999999999985</v>
      </c>
      <c r="G14" s="15">
        <v>146249.99999999997</v>
      </c>
      <c r="H14" s="15">
        <v>219374.99999999994</v>
      </c>
      <c r="I14" s="15">
        <v>302499.99999999994</v>
      </c>
      <c r="J14" s="15">
        <v>378124.99999999994</v>
      </c>
      <c r="K14" s="15">
        <v>468749.99999999988</v>
      </c>
    </row>
  </sheetData>
  <mergeCells count="3">
    <mergeCell ref="B1:C1"/>
    <mergeCell ref="B3:C3"/>
    <mergeCell ref="B7:C7"/>
  </mergeCells>
  <phoneticPr fontId="3" type="noConversion"/>
  <conditionalFormatting sqref="F5:K14">
    <cfRule type="cellIs" dxfId="0" priority="1" operator="lessThan">
      <formula>3000</formula>
    </cfRule>
  </conditionalFormatting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617200-7aba-460d-beb6-6421e9ea8436" xsi:nil="true"/>
    <lcf76f155ced4ddcb4097134ff3c332f xmlns="f275c51b-b714-4ced-942f-dc89e326286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25AACE37FBEB47993871D77E7DB091" ma:contentTypeVersion="11" ma:contentTypeDescription="Create a new document." ma:contentTypeScope="" ma:versionID="fc86b20a15467067b16ea1cf7181cf03">
  <xsd:schema xmlns:xsd="http://www.w3.org/2001/XMLSchema" xmlns:xs="http://www.w3.org/2001/XMLSchema" xmlns:p="http://schemas.microsoft.com/office/2006/metadata/properties" xmlns:ns2="f275c51b-b714-4ced-942f-dc89e3262868" xmlns:ns3="2c617200-7aba-460d-beb6-6421e9ea8436" targetNamespace="http://schemas.microsoft.com/office/2006/metadata/properties" ma:root="true" ma:fieldsID="e38d2b95d048ce06b9a3b7fb744f140f" ns2:_="" ns3:_="">
    <xsd:import namespace="f275c51b-b714-4ced-942f-dc89e3262868"/>
    <xsd:import namespace="2c617200-7aba-460d-beb6-6421e9ea84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75c51b-b714-4ced-942f-dc89e32628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7414def-154c-4d25-b3bb-ada8546948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17200-7aba-460d-beb6-6421e9ea843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b4f89-36e2-43c8-81a4-7b4f3269eb99}" ma:internalName="TaxCatchAll" ma:showField="CatchAllData" ma:web="2c617200-7aba-460d-beb6-6421e9ea84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39D443-8529-4A21-B669-4C375132CD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1BD235-E3AC-49E0-8841-10AA3C44B76C}">
  <ds:schemaRefs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2c617200-7aba-460d-beb6-6421e9ea8436"/>
    <ds:schemaRef ds:uri="http://purl.org/dc/dcmitype/"/>
    <ds:schemaRef ds:uri="f275c51b-b714-4ced-942f-dc89e3262868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35785362-C056-4F90-8BFD-ECBC74B17D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75c51b-b714-4ced-942f-dc89e3262868"/>
    <ds:schemaRef ds:uri="2c617200-7aba-460d-beb6-6421e9ea84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JWalk &amp; Associates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direct mail data table.xlsx</dc:title>
  <dc:subject>Example File</dc:subject>
  <dc:creator>John Walkenbach</dc:creator>
  <cp:keywords> </cp:keywords>
  <dc:description>©2015, John Walkenbach. All Rights Reserved.</dc:description>
  <cp:lastModifiedBy>Isha Bhatta</cp:lastModifiedBy>
  <dcterms:created xsi:type="dcterms:W3CDTF">2003-02-19T21:22:00Z</dcterms:created>
  <dcterms:modified xsi:type="dcterms:W3CDTF">2026-04-10T02:18:50Z</dcterms:modified>
  <cp:category>Excel 2016 Bible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0x0101007025AACE37FBEB47993871D77E7DB091</vt:lpwstr>
  </property>
</Properties>
</file>