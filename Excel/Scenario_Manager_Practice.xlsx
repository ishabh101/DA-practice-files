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b058a3b9b2a2950/Excel/"/>
    </mc:Choice>
  </mc:AlternateContent>
  <xr:revisionPtr revIDLastSave="19" documentId="11_1041902DED8DD5BFA3A5F4AAD7EB71802DCEF990" xr6:coauthVersionLast="47" xr6:coauthVersionMax="47" xr10:uidLastSave="{FAF0D53B-9FB4-4494-AB14-A07ED3CCB93F}"/>
  <bookViews>
    <workbookView xWindow="-108" yWindow="-108" windowWidth="23256" windowHeight="12456" xr2:uid="{00000000-000D-0000-FFFF-FFFF00000000}"/>
  </bookViews>
  <sheets>
    <sheet name="Scenario Summary" sheetId="3" r:id="rId1"/>
    <sheet name="Sheet1" sheetId="1" r:id="rId2"/>
  </sheets>
  <definedNames>
    <definedName name="Hourly_labor_cost">Sheet1!$B$2</definedName>
    <definedName name="Material_cost">Sheet1!$B$3</definedName>
    <definedName name="Total_profit">Sheet1!$B$15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11" i="1" s="1"/>
  <c r="B13" i="1" s="1"/>
  <c r="C9" i="1"/>
  <c r="C11" i="1" s="1"/>
  <c r="C13" i="1" s="1"/>
  <c r="D9" i="1"/>
  <c r="D11" i="1" s="1"/>
  <c r="D13" i="1" s="1"/>
  <c r="B15" i="1" l="1"/>
</calcChain>
</file>

<file path=xl/sharedStrings.xml><?xml version="1.0" encoding="utf-8"?>
<sst xmlns="http://schemas.openxmlformats.org/spreadsheetml/2006/main" count="30" uniqueCount="30">
  <si>
    <t>Resource Cost Variables</t>
  </si>
  <si>
    <t>Hourly labor cost</t>
  </si>
  <si>
    <t>Materials cost</t>
  </si>
  <si>
    <t>Product A</t>
  </si>
  <si>
    <t>Product B</t>
  </si>
  <si>
    <t>Product C</t>
  </si>
  <si>
    <t>Hours per unit</t>
  </si>
  <si>
    <t>Materials per unit</t>
  </si>
  <si>
    <t>Cost to produce</t>
  </si>
  <si>
    <t>Sales price</t>
  </si>
  <si>
    <t>Unit profit</t>
  </si>
  <si>
    <t>Units produced</t>
  </si>
  <si>
    <t>Total profit per product</t>
  </si>
  <si>
    <t>Total Profit</t>
  </si>
  <si>
    <t>Hourly_labor_cost</t>
  </si>
  <si>
    <t>Material_cost</t>
  </si>
  <si>
    <t>Best Case</t>
  </si>
  <si>
    <t>This is the best case  we can ge</t>
  </si>
  <si>
    <t>Worst Case</t>
  </si>
  <si>
    <t>worst case</t>
  </si>
  <si>
    <t>most likely</t>
  </si>
  <si>
    <t xml:space="preserve">likely chances
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</si>
  <si>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</si>
  <si>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</si>
  <si>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</si>
  <si>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</si>
  <si>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</si>
  <si>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</si>
  <si>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</si>
  <si>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Total_profit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</si>
</sst>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indexed="9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8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0" fillId="4" borderId="0" xfId="0" applyFill="1"/>
    <xf numFmtId="0" fontId="0" fillId="0" borderId="1" xfId="0" applyBorder="1"/>
    <xf numFmtId="0" fontId="2" fillId="3" borderId="1" xfId="0" applyFont="1" applyFill="1" applyBorder="1"/>
    <xf numFmtId="164" fontId="0" fillId="0" borderId="1" xfId="1" applyNumberFormat="1" applyFont="1" applyBorder="1"/>
    <xf numFmtId="0" fontId="0" fillId="0" borderId="2" xfId="0" applyBorder="1"/>
    <xf numFmtId="0" fontId="2" fillId="0" borderId="3" xfId="0" applyFont="1" applyBorder="1"/>
    <xf numFmtId="164" fontId="2" fillId="0" borderId="3" xfId="1" applyNumberFormat="1" applyFont="1" applyBorder="1"/>
    <xf numFmtId="0" fontId="3" fillId="2" borderId="0" xfId="0" applyFont="1" applyFill="1"/>
    <xf numFmtId="164" fontId="3" fillId="2" borderId="0" xfId="0" applyNumberFormat="1" applyFont="1" applyFill="1"/>
    <xf numFmtId="0" fontId="2" fillId="3" borderId="1" xfId="0" applyFont="1" applyFill="1" applyBorder="1" applyAlignment="1">
      <alignment horizontal="center"/>
    </xf>
    <xf numFmtId="0" fontId="0" fillId="0" borderId="0" xfId="0" applyFill="1" applyBorder="1" applyAlignment="1"/>
    <xf numFmtId="164" fontId="0" fillId="0" borderId="5" xfId="0" applyNumberFormat="1" applyFill="1" applyBorder="1" applyAlignment="1"/>
    <xf numFmtId="0" fontId="4" fillId="5" borderId="6" xfId="0" applyFont="1" applyFill="1" applyBorder="1" applyAlignment="1">
      <alignment horizontal="left"/>
    </xf>
    <xf numFmtId="0" fontId="4" fillId="5" borderId="4" xfId="0" applyFont="1" applyFill="1" applyBorder="1" applyAlignment="1">
      <alignment horizontal="left"/>
    </xf>
    <xf numFmtId="0" fontId="0" fillId="0" borderId="7" xfId="0" applyFill="1" applyBorder="1" applyAlignment="1"/>
    <xf numFmtId="0" fontId="5" fillId="6" borderId="0" xfId="0" applyFont="1" applyFill="1" applyBorder="1" applyAlignment="1">
      <alignment horizontal="left"/>
    </xf>
    <xf numFmtId="0" fontId="6" fillId="6" borderId="7" xfId="0" applyFont="1" applyFill="1" applyBorder="1" applyAlignment="1">
      <alignment horizontal="left"/>
    </xf>
    <xf numFmtId="0" fontId="5" fillId="6" borderId="5" xfId="0" applyFont="1" applyFill="1" applyBorder="1" applyAlignment="1">
      <alignment horizontal="left"/>
    </xf>
    <xf numFmtId="0" fontId="7" fillId="5" borderId="4" xfId="0" applyFont="1" applyFill="1" applyBorder="1" applyAlignment="1">
      <alignment horizontal="right"/>
    </xf>
    <xf numFmtId="0" fontId="7" fillId="5" borderId="6" xfId="0" applyFont="1" applyFill="1" applyBorder="1" applyAlignment="1">
      <alignment horizontal="right"/>
    </xf>
    <xf numFmtId="0" fontId="8" fillId="0" borderId="0" xfId="0" applyFont="1" applyFill="1" applyBorder="1" applyAlignment="1">
      <alignment vertical="top" wrapText="1"/>
    </xf>
    <xf numFmtId="0" fontId="0" fillId="7" borderId="0" xfId="0" applyFill="1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601C-A3EA-454D-AE48-6CA30E63E222}">
  <sheetPr>
    <outlinePr summaryBelow="0"/>
  </sheetPr>
  <dimension ref="B1:G12"/>
  <sheetViews>
    <sheetView showGridLines="0" tabSelected="1" workbookViewId="0"/>
  </sheetViews>
  <sheetFormatPr defaultRowHeight="14.4" outlineLevelRow="1" outlineLevelCol="1" x14ac:dyDescent="0.3"/>
  <cols>
    <col min="3" max="3" width="16.44140625" bestFit="1" customWidth="1"/>
    <col min="4" max="7" width="13.109375" bestFit="1" customWidth="1" outlineLevel="1"/>
  </cols>
  <sheetData>
    <row r="1" spans="2:7" ht="15" thickBot="1" x14ac:dyDescent="0.35"/>
    <row r="2" spans="2:7" ht="15.6" x14ac:dyDescent="0.3">
      <c r="B2" s="14" t="s">
        <v>22</v>
      </c>
      <c r="C2" s="14"/>
      <c r="D2" s="19"/>
      <c r="E2" s="19"/>
      <c r="F2" s="19"/>
      <c r="G2" s="19"/>
    </row>
    <row r="3" spans="2:7" ht="15.6" collapsed="1" x14ac:dyDescent="0.3">
      <c r="B3" s="13"/>
      <c r="C3" s="13"/>
      <c r="D3" s="20" t="s">
        <v>24</v>
      </c>
      <c r="E3" s="20" t="s">
        <v>16</v>
      </c>
      <c r="F3" s="20" t="s">
        <v>18</v>
      </c>
      <c r="G3" s="20" t="s">
        <v>20</v>
      </c>
    </row>
    <row r="4" spans="2:7" ht="20.399999999999999" hidden="1" outlineLevel="1" x14ac:dyDescent="0.3">
      <c r="B4" s="16"/>
      <c r="C4" s="16"/>
      <c r="D4" s="11"/>
      <c r="E4" s="21" t="s">
        <v>17</v>
      </c>
      <c r="F4" s="21" t="s">
        <v>19</v>
      </c>
      <c r="G4" s="21" t="s">
        <v>21</v>
      </c>
    </row>
    <row r="5" spans="2:7" x14ac:dyDescent="0.3">
      <c r="B5" s="17" t="s">
        <v>23</v>
      </c>
      <c r="C5" s="17"/>
      <c r="D5" s="15"/>
      <c r="E5" s="15"/>
      <c r="F5" s="15"/>
      <c r="G5" s="15"/>
    </row>
    <row r="6" spans="2:7" outlineLevel="1" x14ac:dyDescent="0.3">
      <c r="B6" s="16"/>
      <c r="C6" s="16" t="s">
        <v>14</v>
      </c>
      <c r="D6" s="11">
        <v>30</v>
      </c>
      <c r="E6" s="22">
        <v>20</v>
      </c>
      <c r="F6" s="22">
        <v>40</v>
      </c>
      <c r="G6" s="22">
        <v>30</v>
      </c>
    </row>
    <row r="7" spans="2:7" outlineLevel="1" x14ac:dyDescent="0.3">
      <c r="B7" s="16"/>
      <c r="C7" s="16" t="s">
        <v>15</v>
      </c>
      <c r="D7" s="11">
        <v>55</v>
      </c>
      <c r="E7" s="22">
        <v>50</v>
      </c>
      <c r="F7" s="22">
        <v>70</v>
      </c>
      <c r="G7" s="22">
        <v>55</v>
      </c>
    </row>
    <row r="8" spans="2:7" x14ac:dyDescent="0.3">
      <c r="B8" s="17" t="s">
        <v>25</v>
      </c>
      <c r="C8" s="17"/>
      <c r="D8" s="15"/>
      <c r="E8" s="15"/>
      <c r="F8" s="15"/>
      <c r="G8" s="15"/>
    </row>
    <row r="9" spans="2:7" ht="15" outlineLevel="1" thickBot="1" x14ac:dyDescent="0.35">
      <c r="B9" s="18"/>
      <c r="C9" s="18" t="s">
        <v>29</v>
      </c>
      <c r="D9" s="12">
        <v>19080</v>
      </c>
      <c r="E9" s="12">
        <v>31530</v>
      </c>
      <c r="F9" s="12">
        <v>1170</v>
      </c>
      <c r="G9" s="12">
        <v>19080</v>
      </c>
    </row>
    <row r="10" spans="2:7" x14ac:dyDescent="0.3">
      <c r="B10" t="s">
        <v>26</v>
      </c>
    </row>
    <row r="11" spans="2:7" x14ac:dyDescent="0.3">
      <c r="B11" t="s">
        <v>27</v>
      </c>
    </row>
    <row r="12" spans="2:7" x14ac:dyDescent="0.3">
      <c r="B1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selection activeCell="D15" sqref="D15"/>
    </sheetView>
  </sheetViews>
  <sheetFormatPr defaultRowHeight="14.4" x14ac:dyDescent="0.3"/>
  <cols>
    <col min="1" max="1" width="26.6640625" style="1" customWidth="1"/>
    <col min="2" max="2" width="11.77734375" style="1" customWidth="1"/>
    <col min="3" max="3" width="12.33203125" style="1" customWidth="1"/>
    <col min="4" max="4" width="12" style="1" customWidth="1"/>
    <col min="5" max="16384" width="8.88671875" style="1"/>
  </cols>
  <sheetData>
    <row r="1" spans="1:4" x14ac:dyDescent="0.3">
      <c r="A1" s="10" t="s">
        <v>0</v>
      </c>
      <c r="B1" s="10"/>
    </row>
    <row r="2" spans="1:4" x14ac:dyDescent="0.3">
      <c r="A2" s="2" t="s">
        <v>1</v>
      </c>
      <c r="B2" s="2">
        <v>30</v>
      </c>
    </row>
    <row r="3" spans="1:4" x14ac:dyDescent="0.3">
      <c r="A3" s="2" t="s">
        <v>2</v>
      </c>
      <c r="B3" s="2">
        <v>55</v>
      </c>
    </row>
    <row r="6" spans="1:4" x14ac:dyDescent="0.3">
      <c r="A6" s="2"/>
      <c r="B6" s="3" t="s">
        <v>3</v>
      </c>
      <c r="C6" s="3" t="s">
        <v>4</v>
      </c>
      <c r="D6" s="3" t="s">
        <v>5</v>
      </c>
    </row>
    <row r="7" spans="1:4" x14ac:dyDescent="0.3">
      <c r="A7" s="2" t="s">
        <v>6</v>
      </c>
      <c r="B7" s="2">
        <v>12</v>
      </c>
      <c r="C7" s="2">
        <v>14</v>
      </c>
      <c r="D7" s="2">
        <v>24</v>
      </c>
    </row>
    <row r="8" spans="1:4" x14ac:dyDescent="0.3">
      <c r="A8" s="2" t="s">
        <v>7</v>
      </c>
      <c r="B8" s="2">
        <v>6</v>
      </c>
      <c r="C8" s="2">
        <v>9</v>
      </c>
      <c r="D8" s="2">
        <v>14</v>
      </c>
    </row>
    <row r="9" spans="1:4" x14ac:dyDescent="0.3">
      <c r="A9" s="2" t="s">
        <v>8</v>
      </c>
      <c r="B9" s="4">
        <f>Hourly_labor_cost*B7+Material_cost*B8</f>
        <v>690</v>
      </c>
      <c r="C9" s="4">
        <f>Hourly_labor_cost*C7+Material_cost*C8</f>
        <v>915</v>
      </c>
      <c r="D9" s="4">
        <f>Hourly_labor_cost*D7+Material_cost*D8</f>
        <v>1490</v>
      </c>
    </row>
    <row r="10" spans="1:4" x14ac:dyDescent="0.3">
      <c r="A10" s="2" t="s">
        <v>9</v>
      </c>
      <c r="B10" s="4">
        <v>795</v>
      </c>
      <c r="C10" s="4">
        <v>1295</v>
      </c>
      <c r="D10" s="4">
        <v>2195</v>
      </c>
    </row>
    <row r="11" spans="1:4" x14ac:dyDescent="0.3">
      <c r="A11" s="2" t="s">
        <v>10</v>
      </c>
      <c r="B11" s="4">
        <f>B10-B9</f>
        <v>105</v>
      </c>
      <c r="C11" s="4">
        <f t="shared" ref="C11:D11" si="0">C10-C9</f>
        <v>380</v>
      </c>
      <c r="D11" s="4">
        <f t="shared" si="0"/>
        <v>705</v>
      </c>
    </row>
    <row r="12" spans="1:4" ht="15" thickBot="1" x14ac:dyDescent="0.35">
      <c r="A12" s="5" t="s">
        <v>11</v>
      </c>
      <c r="B12" s="5">
        <v>36</v>
      </c>
      <c r="C12" s="5">
        <v>18</v>
      </c>
      <c r="D12" s="5">
        <v>12</v>
      </c>
    </row>
    <row r="13" spans="1:4" x14ac:dyDescent="0.3">
      <c r="A13" s="6" t="s">
        <v>12</v>
      </c>
      <c r="B13" s="7">
        <f>B11*B12</f>
        <v>3780</v>
      </c>
      <c r="C13" s="7">
        <f>C11*C12</f>
        <v>6840</v>
      </c>
      <c r="D13" s="7">
        <f>D11*D12</f>
        <v>8460</v>
      </c>
    </row>
    <row r="15" spans="1:4" ht="18" x14ac:dyDescent="0.35">
      <c r="A15" s="8" t="s">
        <v>13</v>
      </c>
      <c r="B15" s="9">
        <f>SUM(B13:D13)</f>
        <v>19080</v>
      </c>
    </row>
  </sheetData>
  <scenarios current="2" show="2" sqref="B15">
    <scenario name="Best Case" locked="1" count="2" user="Isha Bhatta" comment="This is the best case  we can ge">
      <inputCells r="B2" val="20"/>
      <inputCells r="B3" val="50"/>
    </scenario>
    <scenario name="Worst Case" locked="1" count="2" user="Isha Bhatta" comment="worst case">
      <inputCells r="B2" val="40"/>
      <inputCells r="B3" val="70"/>
    </scenario>
    <scenario name="most likely" locked="1" count="2" user="Isha Bhatta" comment="likely chances_x000a_">
      <inputCells r="B2" val="30"/>
      <inputCells r="B3" val="55"/>
    </scenario>
  </scenarios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Scenario Summary</vt:lpstr>
      <vt:lpstr>Sheet1</vt:lpstr>
      <vt:lpstr>Hourly_labor_cost</vt:lpstr>
      <vt:lpstr>Material_cost</vt:lpstr>
      <vt:lpstr>Total_profit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Isha Bhatta</cp:lastModifiedBy>
  <dcterms:created xsi:type="dcterms:W3CDTF">2026-04-10T00:29:25Z</dcterms:created>
  <dcterms:modified xsi:type="dcterms:W3CDTF">2026-04-10T02:46:44Z</dcterms:modified>
</cp:coreProperties>
</file>