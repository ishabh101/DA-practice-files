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https://d.docs.live.net/8b058a3b9b2a2950/Excel/"/>
    </mc:Choice>
  </mc:AlternateContent>
  <xr:revisionPtr revIDLastSave="151" documentId="11_D2E8E67CC46B0B1089EA8D01D90739A198738138" xr6:coauthVersionLast="47" xr6:coauthVersionMax="47" xr10:uidLastSave="{767E01F9-5465-487B-A231-D4A363D89C55}"/>
  <bookViews>
    <workbookView xWindow="-108" yWindow="-108" windowWidth="23256" windowHeight="12456" firstSheet="4" activeTab="10" xr2:uid="{00000000-000D-0000-FFFF-FFFF00000000}"/>
  </bookViews>
  <sheets>
    <sheet name="Percent of Goal" sheetId="20" r:id="rId1"/>
    <sheet name="Percent of Common Goal" sheetId="31" r:id="rId2"/>
    <sheet name="Percent Variance" sheetId="18" r:id="rId3"/>
    <sheet name="Positive Pct Var" sheetId="19" r:id="rId4"/>
    <sheet name="=" sheetId="17" r:id="rId5"/>
    <sheet name="Pct of Total II" sheetId="29" r:id="rId6"/>
    <sheet name="Running Total" sheetId="21" r:id="rId7"/>
    <sheet name="Pct Add Discount" sheetId="22" r:id="rId8"/>
    <sheet name="Pct to Budget" sheetId="23" r:id="rId9"/>
    <sheet name="Round" sheetId="24" r:id="rId10"/>
    <sheet name="Floor and Ceiling" sheetId="25" r:id="rId11"/>
  </sheets>
  <definedNames>
    <definedName name="Act" localSheetId="1">'Positive Pct Var'!#REF!</definedName>
    <definedName name="Act">'Positive Pct Var'!#REF!</definedName>
    <definedName name="Bud" localSheetId="1">'Positive Pct Var'!#REF!</definedName>
    <definedName name="Bud">'Positive Pct Var'!#REF!</definedName>
    <definedName name="Car" localSheetId="5">#REF!</definedName>
    <definedName name="Car" localSheetId="1">#REF!</definedName>
    <definedName name="Car">#REF!</definedName>
    <definedName name="SigDig">2</definedName>
    <definedName name="Truck" localSheetId="5">#REF!</definedName>
    <definedName name="Truck" localSheetId="1">#REF!</definedName>
    <definedName name="Truck">#REF!</definedName>
    <definedName name="xlCOMMA">","</definedName>
    <definedName name="xlDOUBLE">""""</definedName>
    <definedName name="xlSINGLE">"'"</definedName>
    <definedName name="xlSPACE">" "</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25" l="1"/>
  <c r="C3" i="25"/>
  <c r="C3" i="24"/>
  <c r="C4" i="24"/>
  <c r="F3" i="23"/>
  <c r="F4" i="23"/>
  <c r="F5" i="23"/>
  <c r="E4" i="23"/>
  <c r="E5" i="23"/>
  <c r="E3" i="23"/>
  <c r="C8" i="24"/>
  <c r="C7" i="24"/>
  <c r="C6" i="24"/>
  <c r="C5" i="24"/>
  <c r="D4" i="29"/>
  <c r="D5" i="29"/>
  <c r="D6" i="29"/>
  <c r="D3" i="29"/>
  <c r="E9" i="22"/>
  <c r="E5" i="22"/>
  <c r="D4" i="21"/>
  <c r="D5" i="21"/>
  <c r="D6" i="21"/>
  <c r="D7" i="21"/>
  <c r="D8" i="21"/>
  <c r="D9" i="21"/>
  <c r="D10" i="21"/>
  <c r="D11" i="21"/>
  <c r="D12" i="21"/>
  <c r="D13" i="21"/>
  <c r="D14" i="21"/>
  <c r="D3" i="21"/>
  <c r="D4" i="17"/>
  <c r="D5" i="17"/>
  <c r="D6" i="17"/>
  <c r="D3" i="17"/>
  <c r="E4" i="19"/>
  <c r="D4" i="19"/>
  <c r="E5" i="18"/>
  <c r="E6" i="18"/>
  <c r="E7" i="18"/>
  <c r="E4" i="18"/>
  <c r="D7" i="31"/>
  <c r="D8" i="31"/>
  <c r="D9" i="31"/>
  <c r="D6" i="31"/>
  <c r="E6" i="20"/>
  <c r="E7" i="20"/>
  <c r="E8" i="20"/>
  <c r="E5" i="20"/>
</calcChain>
</file>

<file path=xl/sharedStrings.xml><?xml version="1.0" encoding="utf-8"?>
<sst xmlns="http://schemas.openxmlformats.org/spreadsheetml/2006/main" count="89" uniqueCount="62">
  <si>
    <t>Region</t>
  </si>
  <si>
    <t>Revenue</t>
  </si>
  <si>
    <t>North</t>
  </si>
  <si>
    <t>South</t>
  </si>
  <si>
    <t>East</t>
  </si>
  <si>
    <t>West</t>
  </si>
  <si>
    <t>Total</t>
  </si>
  <si>
    <t>Percent of Total</t>
  </si>
  <si>
    <t>Units Sold</t>
  </si>
  <si>
    <t>Product A</t>
  </si>
  <si>
    <t>Prior Year</t>
  </si>
  <si>
    <t>Current Year</t>
  </si>
  <si>
    <t>Percent Variance</t>
  </si>
  <si>
    <t>Budget</t>
  </si>
  <si>
    <t>Actual</t>
  </si>
  <si>
    <t>Standard Percent Variance</t>
  </si>
  <si>
    <t>Improved Percent Variance</t>
  </si>
  <si>
    <t>Goal</t>
  </si>
  <si>
    <t>Common Goal</t>
  </si>
  <si>
    <t>Percent of Goal</t>
  </si>
  <si>
    <t>January</t>
  </si>
  <si>
    <t>February</t>
  </si>
  <si>
    <t>March</t>
  </si>
  <si>
    <t>April</t>
  </si>
  <si>
    <t>May</t>
  </si>
  <si>
    <t>June</t>
  </si>
  <si>
    <t>July</t>
  </si>
  <si>
    <t>August</t>
  </si>
  <si>
    <t>September</t>
  </si>
  <si>
    <t>October</t>
  </si>
  <si>
    <t>November</t>
  </si>
  <si>
    <t>December</t>
  </si>
  <si>
    <t>Running Total</t>
  </si>
  <si>
    <t>Unit Cost</t>
  </si>
  <si>
    <t>Price Increase</t>
  </si>
  <si>
    <t>Customer A</t>
  </si>
  <si>
    <t>Cost per Service</t>
  </si>
  <si>
    <t>Percent Discount</t>
  </si>
  <si>
    <t>Final Price</t>
  </si>
  <si>
    <t>Discounted Cost</t>
  </si>
  <si>
    <t>Jim</t>
  </si>
  <si>
    <t>Tim</t>
  </si>
  <si>
    <t>Kim</t>
  </si>
  <si>
    <t>Percent to Budget</t>
  </si>
  <si>
    <t>=ROUND(94.45,1)</t>
  </si>
  <si>
    <t>=ROUND(94.45,0)</t>
  </si>
  <si>
    <t>=ROUND(94.45,-1)</t>
  </si>
  <si>
    <t>=ROUND(94.45,-2)</t>
  </si>
  <si>
    <t>=ROUNDDOWN(94.45,0)</t>
  </si>
  <si>
    <t>=ROUNDUP(94.45,0)</t>
  </si>
  <si>
    <t>Formula</t>
  </si>
  <si>
    <t>Result</t>
  </si>
  <si>
    <t>Dollar Amount</t>
  </si>
  <si>
    <t>Round up to Nearest Penny</t>
  </si>
  <si>
    <t>Round Down to the Nearest Penny</t>
  </si>
  <si>
    <t>scenario where,the company is getting loss every year and expected loss this year too, we can bear the loss of 10000 in net budget but we actually gain profit of 12000 by selling our goods.</t>
  </si>
  <si>
    <t>Running total =cumulative frequency</t>
  </si>
  <si>
    <t>no decimal places</t>
  </si>
  <si>
    <t>upto 1 decimal place</t>
  </si>
  <si>
    <t>nearest ten</t>
  </si>
  <si>
    <t>nearest 100</t>
  </si>
  <si>
    <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</si>
</sst>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quot;#,##0.00_);\(&quot;$&quot;#,##0.00\)"/>
    <numFmt numFmtId="44" formatCode="_(&quot;$&quot;* #,##0.00_);_(&quot;$&quot;* \(#,##0.00\);_(&quot;$&quot;* &quot;-&quot;??_);_(@_)"/>
    <numFmt numFmtId="43" formatCode="_(* #,##0.00_);_(* \(#,##0.00\);_(* &quot;-&quot;??_);_(@_)"/>
    <numFmt numFmtId="164" formatCode="&quot;$&quot;#,##0"/>
    <numFmt numFmtId="165" formatCode="_(&quot;$&quot;* #,##0.000_);_(&quot;$&quot;* \(#,##0.000\);_(&quot;$&quot;* &quot;-&quot;??_);_(@_)"/>
  </numFmts>
  <fonts count="5" x14ac:knownFonts="1">
    <font>
      <sz val="11"/>
      <color theme="1"/>
      <name val="Calibri"/>
      <family val="2"/>
      <scheme val="minor"/>
    </font>
    <font>
      <sz val="11"/>
      <color theme="1"/>
      <name val="Calibri"/>
      <family val="2"/>
      <scheme val="minor"/>
    </font>
    <font>
      <b/>
      <sz val="11"/>
      <color rgb="FF3F3F3F"/>
      <name val="Calibri"/>
      <family val="2"/>
      <scheme val="minor"/>
    </font>
    <font>
      <sz val="10"/>
      <name val="Arial"/>
      <family val="2"/>
    </font>
    <font>
      <sz val="10"/>
      <color theme="1"/>
      <name val="Arial"/>
      <family val="2"/>
    </font>
  </fonts>
  <fills count="5">
    <fill>
      <patternFill patternType="none"/>
    </fill>
    <fill>
      <patternFill patternType="gray125"/>
    </fill>
    <fill>
      <patternFill patternType="solid">
        <fgColor rgb="FFF2F2F2"/>
      </patternFill>
    </fill>
    <fill>
      <patternFill patternType="solid">
        <fgColor indexed="22"/>
      </patternFill>
    </fill>
    <fill>
      <patternFill patternType="solid">
        <fgColor indexed="26"/>
      </patternFill>
    </fill>
  </fills>
  <borders count="4">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rgb="FF3F3F3F"/>
      </bottom>
      <diagonal/>
    </border>
    <border>
      <left style="thin">
        <color indexed="64"/>
      </left>
      <right style="thin">
        <color indexed="64"/>
      </right>
      <top/>
      <bottom style="thin">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 fillId="3" borderId="0" applyNumberFormat="0" applyFont="0" applyBorder="0" applyAlignment="0" applyProtection="0"/>
    <xf numFmtId="0" fontId="3" fillId="4" borderId="0" applyNumberFormat="0" applyFont="0" applyBorder="0" applyAlignment="0" applyProtection="0"/>
  </cellStyleXfs>
  <cellXfs count="29">
    <xf numFmtId="0" fontId="0" fillId="0" borderId="0" xfId="0"/>
    <xf numFmtId="9" fontId="0" fillId="0" borderId="0" xfId="3" applyFont="1"/>
    <xf numFmtId="0" fontId="2" fillId="2" borderId="1" xfId="4"/>
    <xf numFmtId="164" fontId="0" fillId="0" borderId="0" xfId="1" applyNumberFormat="1" applyFont="1"/>
    <xf numFmtId="164" fontId="0" fillId="0" borderId="0" xfId="0" applyNumberFormat="1"/>
    <xf numFmtId="0" fontId="0" fillId="0" borderId="0" xfId="0" applyAlignment="1">
      <alignment horizontal="right"/>
    </xf>
    <xf numFmtId="164" fontId="0" fillId="0" borderId="0" xfId="1" applyNumberFormat="1" applyFont="1" applyAlignment="1">
      <alignment horizontal="right"/>
    </xf>
    <xf numFmtId="9" fontId="0" fillId="0" borderId="0" xfId="3" applyFont="1" applyAlignment="1">
      <alignment horizontal="right"/>
    </xf>
    <xf numFmtId="164" fontId="0" fillId="0" borderId="0" xfId="0" applyNumberFormat="1" applyAlignment="1">
      <alignment horizontal="right"/>
    </xf>
    <xf numFmtId="0" fontId="2" fillId="2" borderId="1" xfId="4" applyAlignment="1">
      <alignment horizontal="right"/>
    </xf>
    <xf numFmtId="0" fontId="2" fillId="2" borderId="1" xfId="4" applyAlignment="1">
      <alignment horizontal="center"/>
    </xf>
    <xf numFmtId="164" fontId="0" fillId="0" borderId="0" xfId="1" applyNumberFormat="1" applyFont="1" applyAlignment="1">
      <alignment horizontal="center"/>
    </xf>
    <xf numFmtId="0" fontId="0" fillId="0" borderId="0" xfId="0" applyAlignment="1">
      <alignment horizontal="center"/>
    </xf>
    <xf numFmtId="9" fontId="0" fillId="0" borderId="0" xfId="3" applyFont="1" applyAlignment="1">
      <alignment horizontal="center"/>
    </xf>
    <xf numFmtId="0" fontId="2" fillId="2" borderId="2" xfId="4" applyBorder="1" applyAlignment="1">
      <alignment horizontal="center"/>
    </xf>
    <xf numFmtId="164" fontId="0" fillId="0" borderId="3" xfId="1" applyNumberFormat="1" applyFont="1" applyBorder="1" applyAlignment="1">
      <alignment horizontal="center"/>
    </xf>
    <xf numFmtId="3" fontId="0" fillId="0" borderId="0" xfId="0" applyNumberFormat="1" applyAlignment="1">
      <alignment horizontal="center"/>
    </xf>
    <xf numFmtId="3" fontId="0" fillId="0" borderId="0" xfId="1" applyNumberFormat="1" applyFont="1" applyAlignment="1">
      <alignment horizontal="center"/>
    </xf>
    <xf numFmtId="165" fontId="0" fillId="0" borderId="0" xfId="2" applyNumberFormat="1" applyFont="1"/>
    <xf numFmtId="7" fontId="0" fillId="0" borderId="0" xfId="2" applyNumberFormat="1" applyFont="1" applyAlignment="1">
      <alignment horizontal="center"/>
    </xf>
    <xf numFmtId="0" fontId="2" fillId="2" borderId="1" xfId="4" applyAlignment="1">
      <alignment wrapText="1"/>
    </xf>
    <xf numFmtId="3" fontId="2" fillId="2" borderId="1" xfId="4" applyNumberFormat="1" applyAlignment="1">
      <alignment horizontal="center"/>
    </xf>
    <xf numFmtId="0" fontId="2" fillId="2" borderId="1" xfId="4" applyAlignment="1">
      <alignment horizontal="center" wrapText="1"/>
    </xf>
    <xf numFmtId="10" fontId="0" fillId="0" borderId="0" xfId="3" applyNumberFormat="1" applyFont="1" applyAlignment="1">
      <alignment horizontal="center"/>
    </xf>
    <xf numFmtId="0" fontId="0" fillId="0" borderId="0" xfId="0" quotePrefix="1" applyAlignment="1">
      <alignment horizontal="center"/>
    </xf>
    <xf numFmtId="0" fontId="0" fillId="0" borderId="0" xfId="0" applyAlignment="1">
      <alignment wrapText="1"/>
    </xf>
    <xf numFmtId="0" fontId="4" fillId="0" borderId="0" xfId="0" applyFont="1"/>
    <xf numFmtId="9" fontId="0" fillId="0" borderId="0" xfId="3" applyNumberFormat="1" applyFont="1"/>
    <xf numFmtId="10" fontId="0" fillId="0" borderId="0" xfId="0" applyNumberFormat="1"/>
  </cellXfs>
  <cellStyles count="7">
    <cellStyle name="Comma" xfId="1" builtinId="3"/>
    <cellStyle name="Currency" xfId="2" builtinId="4"/>
    <cellStyle name="GreyOrWhite" xfId="5" xr:uid="{00000000-0005-0000-0000-000002000000}"/>
    <cellStyle name="Normal" xfId="0" builtinId="0"/>
    <cellStyle name="Output" xfId="4" builtinId="21"/>
    <cellStyle name="Percent" xfId="3" builtinId="5"/>
    <cellStyle name="Yellow"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E8"/>
  <sheetViews>
    <sheetView workbookViewId="0">
      <selection activeCell="E5" sqref="E5"/>
    </sheetView>
  </sheetViews>
  <sheetFormatPr defaultRowHeight="14.4" x14ac:dyDescent="0.3"/>
  <cols>
    <col min="3" max="4" width="8.5546875" bestFit="1" customWidth="1"/>
    <col min="5" max="5" width="14.88671875" style="12" bestFit="1" customWidth="1"/>
  </cols>
  <sheetData>
    <row r="4" spans="2:5" x14ac:dyDescent="0.3">
      <c r="B4" s="2" t="s">
        <v>0</v>
      </c>
      <c r="C4" s="2" t="s">
        <v>17</v>
      </c>
      <c r="D4" s="2" t="s">
        <v>14</v>
      </c>
      <c r="E4" s="10" t="s">
        <v>19</v>
      </c>
    </row>
    <row r="5" spans="2:5" x14ac:dyDescent="0.3">
      <c r="B5" t="s">
        <v>2</v>
      </c>
      <c r="C5" s="6">
        <v>509283</v>
      </c>
      <c r="D5" s="6">
        <v>553887</v>
      </c>
      <c r="E5" s="13">
        <f>(D5/C5)*100%</f>
        <v>1.0875819534522064</v>
      </c>
    </row>
    <row r="6" spans="2:5" x14ac:dyDescent="0.3">
      <c r="B6" t="s">
        <v>3</v>
      </c>
      <c r="C6" s="6">
        <v>483519</v>
      </c>
      <c r="D6" s="6">
        <v>511115</v>
      </c>
      <c r="E6" s="13">
        <f t="shared" ref="E6:E8" si="0">(D6/C6)*100%</f>
        <v>1.0570732484142298</v>
      </c>
    </row>
    <row r="7" spans="2:5" x14ac:dyDescent="0.3">
      <c r="B7" t="s">
        <v>4</v>
      </c>
      <c r="C7" s="6">
        <v>640603</v>
      </c>
      <c r="D7" s="6">
        <v>606603</v>
      </c>
      <c r="E7" s="13">
        <f t="shared" si="0"/>
        <v>0.9469250065953484</v>
      </c>
    </row>
    <row r="8" spans="2:5" x14ac:dyDescent="0.3">
      <c r="B8" t="s">
        <v>5</v>
      </c>
      <c r="C8" s="6">
        <v>320312</v>
      </c>
      <c r="D8" s="6">
        <v>382753</v>
      </c>
      <c r="E8" s="13">
        <f t="shared" si="0"/>
        <v>1.1949380603911186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9"/>
  <sheetViews>
    <sheetView workbookViewId="0">
      <selection activeCell="D6" sqref="D6"/>
    </sheetView>
  </sheetViews>
  <sheetFormatPr defaultRowHeight="14.4" x14ac:dyDescent="0.3"/>
  <cols>
    <col min="2" max="2" width="13.6640625" bestFit="1" customWidth="1"/>
    <col min="3" max="3" width="8.5546875" bestFit="1" customWidth="1"/>
    <col min="4" max="4" width="14.6640625" bestFit="1" customWidth="1"/>
    <col min="5" max="5" width="13.6640625" style="12" bestFit="1" customWidth="1"/>
  </cols>
  <sheetData>
    <row r="2" spans="2:5" x14ac:dyDescent="0.3">
      <c r="B2" s="14" t="s">
        <v>18</v>
      </c>
    </row>
    <row r="3" spans="2:5" x14ac:dyDescent="0.3">
      <c r="B3" s="15">
        <v>700000</v>
      </c>
    </row>
    <row r="5" spans="2:5" x14ac:dyDescent="0.3">
      <c r="B5" s="2" t="s">
        <v>0</v>
      </c>
      <c r="C5" s="2" t="s">
        <v>14</v>
      </c>
      <c r="D5" s="2" t="s">
        <v>19</v>
      </c>
      <c r="E5" s="11"/>
    </row>
    <row r="6" spans="2:5" x14ac:dyDescent="0.3">
      <c r="B6" t="s">
        <v>2</v>
      </c>
      <c r="C6" s="6">
        <v>553887</v>
      </c>
      <c r="D6" s="13">
        <f>(C6/$B$3)*100%</f>
        <v>0.79126714285714284</v>
      </c>
    </row>
    <row r="7" spans="2:5" x14ac:dyDescent="0.3">
      <c r="B7" t="s">
        <v>3</v>
      </c>
      <c r="C7" s="6">
        <v>511115</v>
      </c>
      <c r="D7" s="13">
        <f t="shared" ref="D7:D9" si="0">(C7/$B$3)*100%</f>
        <v>0.73016428571428571</v>
      </c>
    </row>
    <row r="8" spans="2:5" x14ac:dyDescent="0.3">
      <c r="B8" t="s">
        <v>4</v>
      </c>
      <c r="C8" s="6">
        <v>606603</v>
      </c>
      <c r="D8" s="13">
        <f t="shared" si="0"/>
        <v>0.86657571428571434</v>
      </c>
    </row>
    <row r="9" spans="2:5" x14ac:dyDescent="0.3">
      <c r="B9" t="s">
        <v>5</v>
      </c>
      <c r="C9" s="6">
        <v>382753</v>
      </c>
      <c r="D9" s="13">
        <f t="shared" si="0"/>
        <v>0.54679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E10"/>
  <sheetViews>
    <sheetView workbookViewId="0">
      <selection activeCell="E4" sqref="E4:E7"/>
    </sheetView>
  </sheetViews>
  <sheetFormatPr defaultRowHeight="14.4" x14ac:dyDescent="0.3"/>
  <cols>
    <col min="2" max="2" width="7.109375" bestFit="1" customWidth="1"/>
    <col min="3" max="3" width="13.6640625" style="5" customWidth="1"/>
    <col min="4" max="4" width="14.44140625" style="5" customWidth="1"/>
    <col min="5" max="5" width="16.109375" style="5" bestFit="1" customWidth="1"/>
  </cols>
  <sheetData>
    <row r="3" spans="2:5" x14ac:dyDescent="0.3">
      <c r="B3" s="2" t="s">
        <v>0</v>
      </c>
      <c r="C3" s="9" t="s">
        <v>10</v>
      </c>
      <c r="D3" s="9" t="s">
        <v>11</v>
      </c>
      <c r="E3" s="9" t="s">
        <v>12</v>
      </c>
    </row>
    <row r="4" spans="2:5" x14ac:dyDescent="0.3">
      <c r="B4" t="s">
        <v>2</v>
      </c>
      <c r="C4" s="6">
        <v>509283</v>
      </c>
      <c r="D4" s="6">
        <v>553887</v>
      </c>
      <c r="E4" s="7">
        <f>(D4-C4)/C4</f>
        <v>8.7581953452206332E-2</v>
      </c>
    </row>
    <row r="5" spans="2:5" x14ac:dyDescent="0.3">
      <c r="B5" t="s">
        <v>3</v>
      </c>
      <c r="C5" s="6">
        <v>483519</v>
      </c>
      <c r="D5" s="6">
        <v>511115</v>
      </c>
      <c r="E5" s="7">
        <f t="shared" ref="E5:E7" si="0">(D5-C5)/C5</f>
        <v>5.7073248414229845E-2</v>
      </c>
    </row>
    <row r="6" spans="2:5" x14ac:dyDescent="0.3">
      <c r="B6" t="s">
        <v>4</v>
      </c>
      <c r="C6" s="6">
        <v>640603</v>
      </c>
      <c r="D6" s="6">
        <v>606603</v>
      </c>
      <c r="E6" s="7">
        <f t="shared" si="0"/>
        <v>-5.3074993404651556E-2</v>
      </c>
    </row>
    <row r="7" spans="2:5" x14ac:dyDescent="0.3">
      <c r="B7" t="s">
        <v>5</v>
      </c>
      <c r="C7" s="6">
        <v>320312</v>
      </c>
      <c r="D7" s="6">
        <v>382753</v>
      </c>
      <c r="E7" s="7">
        <f t="shared" si="0"/>
        <v>0.19493806039111866</v>
      </c>
    </row>
    <row r="8" spans="2:5" x14ac:dyDescent="0.3">
      <c r="C8" s="8"/>
      <c r="D8" s="8"/>
    </row>
    <row r="9" spans="2:5" x14ac:dyDescent="0.3">
      <c r="C9" s="8"/>
      <c r="D9" s="8"/>
    </row>
    <row r="10" spans="2:5" x14ac:dyDescent="0.3">
      <c r="C10" s="6"/>
      <c r="D10"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9"/>
  <sheetViews>
    <sheetView topLeftCell="A2" zoomScaleNormal="100" workbookViewId="0">
      <selection activeCell="J12" sqref="J12"/>
    </sheetView>
  </sheetViews>
  <sheetFormatPr defaultRowHeight="14.4" x14ac:dyDescent="0.3"/>
  <cols>
    <col min="1" max="1" width="2.109375" customWidth="1"/>
    <col min="2" max="3" width="11.33203125" style="12" customWidth="1"/>
    <col min="4" max="4" width="18.88671875" style="12" customWidth="1"/>
    <col min="5" max="5" width="17.6640625" style="12" customWidth="1"/>
  </cols>
  <sheetData>
    <row r="1" spans="2:6" x14ac:dyDescent="0.3">
      <c r="F1" t="s">
        <v>55</v>
      </c>
    </row>
    <row r="3" spans="2:6" ht="27.75" customHeight="1" x14ac:dyDescent="0.3">
      <c r="B3" s="10" t="s">
        <v>13</v>
      </c>
      <c r="C3" s="10" t="s">
        <v>14</v>
      </c>
      <c r="D3" s="22" t="s">
        <v>15</v>
      </c>
      <c r="E3" s="22" t="s">
        <v>16</v>
      </c>
    </row>
    <row r="4" spans="2:6" x14ac:dyDescent="0.3">
      <c r="B4" s="17">
        <v>-10000</v>
      </c>
      <c r="C4" s="17">
        <v>12000</v>
      </c>
      <c r="D4" s="13">
        <f>(C4-B4)/B4</f>
        <v>-2.2000000000000002</v>
      </c>
      <c r="E4" s="13">
        <f>(C4-B4)/ABS(B4)</f>
        <v>2.2000000000000002</v>
      </c>
    </row>
    <row r="9" spans="2:6" x14ac:dyDescent="0.3">
      <c r="E9" s="2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D9"/>
  <sheetViews>
    <sheetView workbookViewId="0">
      <selection activeCell="I7" sqref="I7"/>
    </sheetView>
  </sheetViews>
  <sheetFormatPr defaultRowHeight="14.4" x14ac:dyDescent="0.3"/>
  <cols>
    <col min="3" max="3" width="10.5546875" customWidth="1"/>
    <col min="4" max="4" width="15.109375" bestFit="1" customWidth="1"/>
  </cols>
  <sheetData>
    <row r="2" spans="2:4" x14ac:dyDescent="0.3">
      <c r="B2" s="2" t="s">
        <v>0</v>
      </c>
      <c r="C2" s="2" t="s">
        <v>1</v>
      </c>
      <c r="D2" s="2" t="s">
        <v>7</v>
      </c>
    </row>
    <row r="3" spans="2:4" x14ac:dyDescent="0.3">
      <c r="B3" t="s">
        <v>2</v>
      </c>
      <c r="C3" s="3">
        <v>7626</v>
      </c>
      <c r="D3" s="27">
        <f>C3/$C$9</f>
        <v>0.39791286198799897</v>
      </c>
    </row>
    <row r="4" spans="2:4" x14ac:dyDescent="0.3">
      <c r="B4" t="s">
        <v>3</v>
      </c>
      <c r="C4" s="3">
        <v>3387</v>
      </c>
      <c r="D4" s="27">
        <f>C4/$C$9</f>
        <v>0.17672841116618837</v>
      </c>
    </row>
    <row r="5" spans="2:4" x14ac:dyDescent="0.3">
      <c r="B5" t="s">
        <v>4</v>
      </c>
      <c r="C5" s="3">
        <v>1695</v>
      </c>
      <c r="D5" s="27">
        <f>C5/$C$9</f>
        <v>8.8442473258544221E-2</v>
      </c>
    </row>
    <row r="6" spans="2:4" x14ac:dyDescent="0.3">
      <c r="B6" t="s">
        <v>5</v>
      </c>
      <c r="C6" s="3">
        <v>6457</v>
      </c>
      <c r="D6" s="27">
        <f>C6/$C$9</f>
        <v>0.33691625358726845</v>
      </c>
    </row>
    <row r="7" spans="2:4" x14ac:dyDescent="0.3">
      <c r="C7" s="4"/>
    </row>
    <row r="8" spans="2:4" x14ac:dyDescent="0.3">
      <c r="C8" s="4"/>
    </row>
    <row r="9" spans="2:4" x14ac:dyDescent="0.3">
      <c r="B9" t="s">
        <v>6</v>
      </c>
      <c r="C9" s="3">
        <v>19165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D9"/>
  <sheetViews>
    <sheetView workbookViewId="0">
      <selection activeCell="E6" sqref="E6"/>
    </sheetView>
  </sheetViews>
  <sheetFormatPr defaultRowHeight="14.4" x14ac:dyDescent="0.3"/>
  <cols>
    <col min="3" max="3" width="10.5546875" customWidth="1"/>
    <col min="4" max="4" width="23.109375" customWidth="1"/>
  </cols>
  <sheetData>
    <row r="2" spans="2:4" x14ac:dyDescent="0.3">
      <c r="B2" s="2" t="s">
        <v>0</v>
      </c>
      <c r="C2" s="2" t="s">
        <v>1</v>
      </c>
      <c r="D2" s="2" t="s">
        <v>7</v>
      </c>
    </row>
    <row r="3" spans="2:4" x14ac:dyDescent="0.3">
      <c r="B3" t="s">
        <v>2</v>
      </c>
      <c r="C3" s="3">
        <v>7626</v>
      </c>
      <c r="D3" s="1">
        <f>C3/SUM($C$3:$C$6)</f>
        <v>0.39791286198799897</v>
      </c>
    </row>
    <row r="4" spans="2:4" x14ac:dyDescent="0.3">
      <c r="B4" t="s">
        <v>3</v>
      </c>
      <c r="C4" s="3">
        <v>3387</v>
      </c>
      <c r="D4" s="1">
        <f t="shared" ref="D4:D6" si="0">C4/SUM($C$3:$C$6)</f>
        <v>0.17672841116618837</v>
      </c>
    </row>
    <row r="5" spans="2:4" x14ac:dyDescent="0.3">
      <c r="B5" t="s">
        <v>4</v>
      </c>
      <c r="C5" s="3">
        <v>1695</v>
      </c>
      <c r="D5" s="1">
        <f t="shared" si="0"/>
        <v>8.8442473258544221E-2</v>
      </c>
    </row>
    <row r="6" spans="2:4" x14ac:dyDescent="0.3">
      <c r="B6" t="s">
        <v>5</v>
      </c>
      <c r="C6" s="3">
        <v>6457</v>
      </c>
      <c r="D6" s="1">
        <f t="shared" si="0"/>
        <v>0.33691625358726845</v>
      </c>
    </row>
    <row r="7" spans="2:4" x14ac:dyDescent="0.3">
      <c r="C7" s="4"/>
    </row>
    <row r="8" spans="2:4" x14ac:dyDescent="0.3">
      <c r="C8" s="4"/>
    </row>
    <row r="9" spans="2:4" x14ac:dyDescent="0.3">
      <c r="C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D17"/>
  <sheetViews>
    <sheetView workbookViewId="0">
      <selection activeCell="H6" sqref="H6"/>
    </sheetView>
  </sheetViews>
  <sheetFormatPr defaultRowHeight="14.4" x14ac:dyDescent="0.3"/>
  <cols>
    <col min="2" max="2" width="10.88671875" bestFit="1" customWidth="1"/>
    <col min="3" max="3" width="9.88671875" bestFit="1" customWidth="1"/>
    <col min="4" max="4" width="16.5546875" customWidth="1"/>
  </cols>
  <sheetData>
    <row r="2" spans="2:4" x14ac:dyDescent="0.3">
      <c r="C2" t="s">
        <v>8</v>
      </c>
      <c r="D2" t="s">
        <v>32</v>
      </c>
    </row>
    <row r="3" spans="2:4" x14ac:dyDescent="0.3">
      <c r="B3" t="s">
        <v>20</v>
      </c>
      <c r="C3">
        <v>78</v>
      </c>
      <c r="D3">
        <f>SUM($C$3:C3)</f>
        <v>78</v>
      </c>
    </row>
    <row r="4" spans="2:4" x14ac:dyDescent="0.3">
      <c r="B4" t="s">
        <v>21</v>
      </c>
      <c r="C4">
        <v>63</v>
      </c>
      <c r="D4">
        <f>SUM($C$3:C4)</f>
        <v>141</v>
      </c>
    </row>
    <row r="5" spans="2:4" x14ac:dyDescent="0.3">
      <c r="B5" t="s">
        <v>22</v>
      </c>
      <c r="C5">
        <v>38</v>
      </c>
      <c r="D5">
        <f>SUM($C$3:C5)</f>
        <v>179</v>
      </c>
    </row>
    <row r="6" spans="2:4" x14ac:dyDescent="0.3">
      <c r="B6" t="s">
        <v>23</v>
      </c>
      <c r="C6">
        <v>17</v>
      </c>
      <c r="D6">
        <f>SUM($C$3:C6)</f>
        <v>196</v>
      </c>
    </row>
    <row r="7" spans="2:4" x14ac:dyDescent="0.3">
      <c r="B7" t="s">
        <v>24</v>
      </c>
      <c r="C7">
        <v>84</v>
      </c>
      <c r="D7">
        <f>SUM($C$3:C7)</f>
        <v>280</v>
      </c>
    </row>
    <row r="8" spans="2:4" x14ac:dyDescent="0.3">
      <c r="B8" t="s">
        <v>25</v>
      </c>
      <c r="C8">
        <v>63</v>
      </c>
      <c r="D8">
        <f>SUM($C$3:C8)</f>
        <v>343</v>
      </c>
    </row>
    <row r="9" spans="2:4" x14ac:dyDescent="0.3">
      <c r="B9" t="s">
        <v>26</v>
      </c>
      <c r="C9">
        <v>32</v>
      </c>
      <c r="D9">
        <f>SUM($C$3:C9)</f>
        <v>375</v>
      </c>
    </row>
    <row r="10" spans="2:4" x14ac:dyDescent="0.3">
      <c r="B10" t="s">
        <v>27</v>
      </c>
      <c r="C10">
        <v>20</v>
      </c>
      <c r="D10">
        <f>SUM($C$3:C10)</f>
        <v>395</v>
      </c>
    </row>
    <row r="11" spans="2:4" x14ac:dyDescent="0.3">
      <c r="B11" t="s">
        <v>28</v>
      </c>
      <c r="C11">
        <v>98</v>
      </c>
      <c r="D11">
        <f>SUM($C$3:C11)</f>
        <v>493</v>
      </c>
    </row>
    <row r="12" spans="2:4" x14ac:dyDescent="0.3">
      <c r="B12" t="s">
        <v>29</v>
      </c>
      <c r="C12">
        <v>63</v>
      </c>
      <c r="D12">
        <f>SUM($C$3:C12)</f>
        <v>556</v>
      </c>
    </row>
    <row r="13" spans="2:4" x14ac:dyDescent="0.3">
      <c r="B13" t="s">
        <v>30</v>
      </c>
      <c r="C13">
        <v>75</v>
      </c>
      <c r="D13">
        <f>SUM($C$3:C13)</f>
        <v>631</v>
      </c>
    </row>
    <row r="14" spans="2:4" x14ac:dyDescent="0.3">
      <c r="B14" t="s">
        <v>31</v>
      </c>
      <c r="C14">
        <v>75</v>
      </c>
      <c r="D14">
        <f>SUM($C$3:C14)</f>
        <v>706</v>
      </c>
    </row>
    <row r="17" spans="4:4" x14ac:dyDescent="0.3">
      <c r="D17" t="s">
        <v>56</v>
      </c>
    </row>
  </sheetData>
  <pageMargins left="0.7" right="0.7" top="0.75" bottom="0.75" header="0.3" footer="0.3"/>
  <ignoredErrors>
    <ignoredError sqref="D15"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4:E9"/>
  <sheetViews>
    <sheetView workbookViewId="0">
      <selection activeCell="H28" sqref="H28"/>
    </sheetView>
  </sheetViews>
  <sheetFormatPr defaultRowHeight="14.4" x14ac:dyDescent="0.3"/>
  <cols>
    <col min="2" max="2" width="11.33203125" bestFit="1" customWidth="1"/>
    <col min="3" max="3" width="15.33203125" style="12" bestFit="1" customWidth="1"/>
    <col min="4" max="4" width="16.109375" style="12" bestFit="1" customWidth="1"/>
    <col min="5" max="5" width="15.44140625" style="16" bestFit="1" customWidth="1"/>
  </cols>
  <sheetData>
    <row r="4" spans="2:5" x14ac:dyDescent="0.3">
      <c r="C4" s="10" t="s">
        <v>33</v>
      </c>
      <c r="D4" s="10" t="s">
        <v>34</v>
      </c>
      <c r="E4" s="21" t="s">
        <v>38</v>
      </c>
    </row>
    <row r="5" spans="2:5" x14ac:dyDescent="0.3">
      <c r="B5" t="s">
        <v>9</v>
      </c>
      <c r="C5" s="12">
        <v>100</v>
      </c>
      <c r="D5" s="13">
        <v>0.1</v>
      </c>
      <c r="E5" s="17">
        <f>C5+(C5*D5)</f>
        <v>110</v>
      </c>
    </row>
    <row r="8" spans="2:5" x14ac:dyDescent="0.3">
      <c r="C8" s="10" t="s">
        <v>36</v>
      </c>
      <c r="D8" s="10" t="s">
        <v>37</v>
      </c>
      <c r="E8" s="21" t="s">
        <v>39</v>
      </c>
    </row>
    <row r="9" spans="2:5" x14ac:dyDescent="0.3">
      <c r="B9" t="s">
        <v>35</v>
      </c>
      <c r="C9" s="12">
        <v>1000</v>
      </c>
      <c r="D9" s="13">
        <v>0.2</v>
      </c>
      <c r="E9" s="17">
        <f>C9-(C9*D9)</f>
        <v>800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5"/>
  <sheetViews>
    <sheetView workbookViewId="0">
      <selection activeCell="F3" sqref="F3"/>
    </sheetView>
  </sheetViews>
  <sheetFormatPr defaultRowHeight="14.4" x14ac:dyDescent="0.3"/>
  <cols>
    <col min="5" max="5" width="17" style="12" bestFit="1" customWidth="1"/>
  </cols>
  <sheetData>
    <row r="2" spans="2:6" x14ac:dyDescent="0.3">
      <c r="C2" s="2" t="s">
        <v>13</v>
      </c>
      <c r="D2" s="2" t="s">
        <v>14</v>
      </c>
      <c r="E2" s="10" t="s">
        <v>43</v>
      </c>
    </row>
    <row r="3" spans="2:6" x14ac:dyDescent="0.3">
      <c r="B3" t="s">
        <v>40</v>
      </c>
      <c r="C3">
        <v>200</v>
      </c>
      <c r="D3">
        <v>200</v>
      </c>
      <c r="E3" s="13">
        <f>IF(C3=0,0,(D3/C3))</f>
        <v>1</v>
      </c>
      <c r="F3" s="28">
        <f>IFERROR(D3/C3, 0)</f>
        <v>1</v>
      </c>
    </row>
    <row r="4" spans="2:6" x14ac:dyDescent="0.3">
      <c r="B4" t="s">
        <v>41</v>
      </c>
      <c r="C4">
        <v>0</v>
      </c>
      <c r="D4">
        <v>100</v>
      </c>
      <c r="E4" s="13">
        <f t="shared" ref="E4:E5" si="0">IF(C4=0,0,(D4/C4))</f>
        <v>0</v>
      </c>
      <c r="F4" s="28">
        <f t="shared" ref="F4:F5" si="1">IFERROR(D4/C4, 0)</f>
        <v>0</v>
      </c>
    </row>
    <row r="5" spans="2:6" x14ac:dyDescent="0.3">
      <c r="B5" t="s">
        <v>42</v>
      </c>
      <c r="C5">
        <v>300</v>
      </c>
      <c r="D5">
        <v>350</v>
      </c>
      <c r="E5" s="13">
        <f t="shared" si="0"/>
        <v>1.1666666666666667</v>
      </c>
      <c r="F5" s="28">
        <f t="shared" si="1"/>
        <v>1.1666666666666667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D8"/>
  <sheetViews>
    <sheetView workbookViewId="0">
      <selection activeCell="C21" sqref="C21"/>
    </sheetView>
  </sheetViews>
  <sheetFormatPr defaultRowHeight="14.4" x14ac:dyDescent="0.3"/>
  <cols>
    <col min="2" max="2" width="22.5546875" bestFit="1" customWidth="1"/>
    <col min="3" max="3" width="9.6640625" customWidth="1"/>
  </cols>
  <sheetData>
    <row r="2" spans="1:4" x14ac:dyDescent="0.3">
      <c r="B2" s="2" t="s">
        <v>50</v>
      </c>
      <c r="C2" s="2" t="s">
        <v>51</v>
      </c>
    </row>
    <row r="3" spans="1:4" x14ac:dyDescent="0.3">
      <c r="A3">
        <v>94.45</v>
      </c>
      <c r="B3" t="s">
        <v>45</v>
      </c>
      <c r="C3">
        <f>ROUND(94.45,0)</f>
        <v>94</v>
      </c>
      <c r="D3" t="s">
        <v>57</v>
      </c>
    </row>
    <row r="4" spans="1:4" x14ac:dyDescent="0.3">
      <c r="A4">
        <v>94.45</v>
      </c>
      <c r="B4" t="s">
        <v>44</v>
      </c>
      <c r="C4">
        <f>ROUND(94.45,1)</f>
        <v>94.5</v>
      </c>
      <c r="D4" t="s">
        <v>58</v>
      </c>
    </row>
    <row r="5" spans="1:4" x14ac:dyDescent="0.3">
      <c r="A5">
        <v>94.45</v>
      </c>
      <c r="B5" t="s">
        <v>46</v>
      </c>
      <c r="C5">
        <f>ROUND(A5,-1)</f>
        <v>90</v>
      </c>
      <c r="D5" t="s">
        <v>59</v>
      </c>
    </row>
    <row r="6" spans="1:4" x14ac:dyDescent="0.3">
      <c r="A6">
        <v>94.45</v>
      </c>
      <c r="B6" t="s">
        <v>47</v>
      </c>
      <c r="C6">
        <f>ROUND(A6,-2)</f>
        <v>100</v>
      </c>
      <c r="D6" t="s">
        <v>60</v>
      </c>
    </row>
    <row r="7" spans="1:4" x14ac:dyDescent="0.3">
      <c r="A7">
        <v>94.45</v>
      </c>
      <c r="B7" t="s">
        <v>48</v>
      </c>
      <c r="C7">
        <f>ROUNDDOWN(A7,0)</f>
        <v>94</v>
      </c>
    </row>
    <row r="8" spans="1:4" x14ac:dyDescent="0.3">
      <c r="A8">
        <v>94.45</v>
      </c>
      <c r="B8" t="s">
        <v>49</v>
      </c>
      <c r="C8">
        <f>ROUNDUP(A8,0)</f>
        <v>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N25"/>
  <sheetViews>
    <sheetView tabSelected="1" workbookViewId="0">
      <selection activeCell="N25" sqref="N25"/>
    </sheetView>
  </sheetViews>
  <sheetFormatPr defaultRowHeight="14.4" x14ac:dyDescent="0.3"/>
  <cols>
    <col min="2" max="2" width="14" bestFit="1" customWidth="1"/>
    <col min="3" max="4" width="17.109375" style="12" customWidth="1"/>
  </cols>
  <sheetData>
    <row r="2" spans="2:4" s="25" customFormat="1" ht="31.5" customHeight="1" x14ac:dyDescent="0.3">
      <c r="B2" s="20" t="s">
        <v>52</v>
      </c>
      <c r="C2" s="22" t="s">
        <v>53</v>
      </c>
      <c r="D2" s="22" t="s">
        <v>54</v>
      </c>
    </row>
    <row r="3" spans="2:4" x14ac:dyDescent="0.3">
      <c r="B3" s="18">
        <v>34.243000000000002</v>
      </c>
      <c r="C3" s="19">
        <f>CEILING(B3,0.01)</f>
        <v>34.25</v>
      </c>
      <c r="D3" s="19">
        <f>FLOOR(B3,0.01)</f>
        <v>34.24</v>
      </c>
    </row>
    <row r="5" spans="2:4" x14ac:dyDescent="0.3">
      <c r="C5" s="24"/>
      <c r="D5" s="24"/>
    </row>
    <row r="9" spans="2:4" x14ac:dyDescent="0.3">
      <c r="C9" s="26"/>
    </row>
    <row r="25" spans="14:14" x14ac:dyDescent="0.3">
      <c r="N25" t="s">
        <v>61</v>
      </c>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25AACE37FBEB47993871D77E7DB091" ma:contentTypeVersion="11" ma:contentTypeDescription="Create a new document." ma:contentTypeScope="" ma:versionID="fc86b20a15467067b16ea1cf7181cf03">
  <xsd:schema xmlns:xsd="http://www.w3.org/2001/XMLSchema" xmlns:xs="http://www.w3.org/2001/XMLSchema" xmlns:p="http://schemas.microsoft.com/office/2006/metadata/properties" xmlns:ns2="f275c51b-b714-4ced-942f-dc89e3262868" xmlns:ns3="2c617200-7aba-460d-beb6-6421e9ea8436" targetNamespace="http://schemas.microsoft.com/office/2006/metadata/properties" ma:root="true" ma:fieldsID="e38d2b95d048ce06b9a3b7fb744f140f" ns2:_="" ns3:_="">
    <xsd:import namespace="f275c51b-b714-4ced-942f-dc89e3262868"/>
    <xsd:import namespace="2c617200-7aba-460d-beb6-6421e9ea843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75c51b-b714-4ced-942f-dc89e32628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7414def-154c-4d25-b3bb-ada8546948f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617200-7aba-460d-beb6-6421e9ea843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56b4f89-36e2-43c8-81a4-7b4f3269eb99}" ma:internalName="TaxCatchAll" ma:showField="CatchAllData" ma:web="2c617200-7aba-460d-beb6-6421e9ea84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c617200-7aba-460d-beb6-6421e9ea8436" xsi:nil="true"/>
    <lcf76f155ced4ddcb4097134ff3c332f xmlns="f275c51b-b714-4ced-942f-dc89e326286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75CDFA-F7C7-4B30-9423-9EA9A33697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75c51b-b714-4ced-942f-dc89e3262868"/>
    <ds:schemaRef ds:uri="2c617200-7aba-460d-beb6-6421e9ea84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514F91C-CFA9-405D-9E1F-D340A5FD738B}">
  <ds:schemaRefs>
    <ds:schemaRef ds:uri="http://schemas.microsoft.com/office/2006/metadata/properties"/>
    <ds:schemaRef ds:uri="http://schemas.microsoft.com/office/infopath/2007/PartnerControls"/>
    <ds:schemaRef ds:uri="2c617200-7aba-460d-beb6-6421e9ea8436"/>
    <ds:schemaRef ds:uri="f275c51b-b714-4ced-942f-dc89e3262868"/>
  </ds:schemaRefs>
</ds:datastoreItem>
</file>

<file path=customXml/itemProps3.xml><?xml version="1.0" encoding="utf-8"?>
<ds:datastoreItem xmlns:ds="http://schemas.openxmlformats.org/officeDocument/2006/customXml" ds:itemID="{EB925322-6F32-4F76-A4FE-83C51DD976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Percent of Goal</vt:lpstr>
      <vt:lpstr>Percent of Common Goal</vt:lpstr>
      <vt:lpstr>Percent Variance</vt:lpstr>
      <vt:lpstr>Positive Pct Var</vt:lpstr>
      <vt:lpstr>=</vt:lpstr>
      <vt:lpstr>Pct of Total II</vt:lpstr>
      <vt:lpstr>Running Total</vt:lpstr>
      <vt:lpstr>Pct Add Discount</vt:lpstr>
      <vt:lpstr>Pct to Budget</vt:lpstr>
      <vt:lpstr>Round</vt:lpstr>
      <vt:lpstr>Floor and Ceiling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 Kusleika</dc:creator>
  <cp:lastModifiedBy>Isha Bhatta</cp:lastModifiedBy>
  <dcterms:created xsi:type="dcterms:W3CDTF">2013-10-28T00:19:55Z</dcterms:created>
  <dcterms:modified xsi:type="dcterms:W3CDTF">2026-04-02T03:01:30Z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4db608-ddec-4a44-8ad7-7d5a79b7448e_Enabled">
    <vt:lpwstr>true</vt:lpwstr>
  </property>
  <property fmtid="{D5CDD505-2E9C-101B-9397-08002B2CF9AE}" pid="3" name="MSIP_Label_6e4db608-ddec-4a44-8ad7-7d5a79b7448e_SetDate">
    <vt:lpwstr>2021-06-22T15:33:43Z</vt:lpwstr>
  </property>
  <property fmtid="{D5CDD505-2E9C-101B-9397-08002B2CF9AE}" pid="4" name="MSIP_Label_6e4db608-ddec-4a44-8ad7-7d5a79b7448e_Method">
    <vt:lpwstr>Standard</vt:lpwstr>
  </property>
  <property fmtid="{D5CDD505-2E9C-101B-9397-08002B2CF9AE}" pid="5" name="MSIP_Label_6e4db608-ddec-4a44-8ad7-7d5a79b7448e_Name">
    <vt:lpwstr>Internal</vt:lpwstr>
  </property>
  <property fmtid="{D5CDD505-2E9C-101B-9397-08002B2CF9AE}" pid="6" name="MSIP_Label_6e4db608-ddec-4a44-8ad7-7d5a79b7448e_SiteId">
    <vt:lpwstr>fd799da1-bfc1-4234-a91c-72b3a1cb9e26</vt:lpwstr>
  </property>
  <property fmtid="{D5CDD505-2E9C-101B-9397-08002B2CF9AE}" pid="7" name="MSIP_Label_6e4db608-ddec-4a44-8ad7-7d5a79b7448e_ActionId">
    <vt:lpwstr>417c6488-71f1-4949-992a-2f05f30a143b</vt:lpwstr>
  </property>
  <property fmtid="{D5CDD505-2E9C-101B-9397-08002B2CF9AE}" pid="8" name="MSIP_Label_6e4db608-ddec-4a44-8ad7-7d5a79b7448e_ContentBits">
    <vt:lpwstr>0</vt:lpwstr>
  </property>
  <property fmtid="{D5CDD505-2E9C-101B-9397-08002B2CF9AE}" pid="9" name="ContentTypeId">
    <vt:lpwstr>0x0101007025AACE37FBEB47993871D77E7DB091</vt:lpwstr>
  </property>
</Properties>
</file>