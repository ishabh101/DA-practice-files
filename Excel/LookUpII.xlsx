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Documents/"/>
    </mc:Choice>
  </mc:AlternateContent>
  <xr:revisionPtr revIDLastSave="40" documentId="11_DDD6E3A431E3F4E211A2D8C2E03D75AF18D2E55A" xr6:coauthVersionLast="47" xr6:coauthVersionMax="47" xr10:uidLastSave="{283A5C8D-A130-4BA5-A755-A7FFC7A1223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tate">Sheet1!$C$3:$C$25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5" i="1"/>
  <c r="I6" i="1"/>
  <c r="I5" i="1"/>
  <c r="I4" i="1"/>
  <c r="G6" i="1"/>
</calcChain>
</file>

<file path=xl/sharedStrings.xml><?xml version="1.0" encoding="utf-8"?>
<sst xmlns="http://schemas.openxmlformats.org/spreadsheetml/2006/main" count="53" uniqueCount="52">
  <si>
    <t>City</t>
  </si>
  <si>
    <t>State</t>
  </si>
  <si>
    <t>Store #</t>
  </si>
  <si>
    <t>Chandler</t>
  </si>
  <si>
    <t>AZ</t>
  </si>
  <si>
    <t>Glendale</t>
  </si>
  <si>
    <t>CA</t>
  </si>
  <si>
    <t>State:</t>
  </si>
  <si>
    <t>NH</t>
  </si>
  <si>
    <t>Fort Collins</t>
  </si>
  <si>
    <t>CO</t>
  </si>
  <si>
    <t>City:</t>
  </si>
  <si>
    <t>Manchester</t>
  </si>
  <si>
    <t>Gainesville</t>
  </si>
  <si>
    <t>FL</t>
  </si>
  <si>
    <t>Store:</t>
  </si>
  <si>
    <t>Peoria</t>
  </si>
  <si>
    <t>IL</t>
  </si>
  <si>
    <t>Indianapolis</t>
  </si>
  <si>
    <t>IN</t>
  </si>
  <si>
    <t>Lafayette</t>
  </si>
  <si>
    <t>LA</t>
  </si>
  <si>
    <t>Grand Rapids</t>
  </si>
  <si>
    <t>MI</t>
  </si>
  <si>
    <t>St. Louis</t>
  </si>
  <si>
    <t>MO</t>
  </si>
  <si>
    <t>Billings</t>
  </si>
  <si>
    <t>MT</t>
  </si>
  <si>
    <t>Raleigh</t>
  </si>
  <si>
    <t>NC</t>
  </si>
  <si>
    <t>Elizabeth</t>
  </si>
  <si>
    <t>NJ</t>
  </si>
  <si>
    <t>Albuquerque</t>
  </si>
  <si>
    <t>NM</t>
  </si>
  <si>
    <t>Toledo</t>
  </si>
  <si>
    <t>OH</t>
  </si>
  <si>
    <t>Tulsa</t>
  </si>
  <si>
    <t>OK</t>
  </si>
  <si>
    <t>Portland</t>
  </si>
  <si>
    <t>OR</t>
  </si>
  <si>
    <t>Erie</t>
  </si>
  <si>
    <t>PA</t>
  </si>
  <si>
    <t>Providence</t>
  </si>
  <si>
    <t>RI</t>
  </si>
  <si>
    <t>Clarksville</t>
  </si>
  <si>
    <t>TN</t>
  </si>
  <si>
    <t>Carrollton</t>
  </si>
  <si>
    <t>TX</t>
  </si>
  <si>
    <t>Tacoma</t>
  </si>
  <si>
    <t>WA</t>
  </si>
  <si>
    <t>Green Bay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</si>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</sst>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5">
    <xf numFmtId="0" fontId="0" fillId="0" borderId="0" xfId="0"/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right" indent="1"/>
    </xf>
    <xf numFmtId="0" fontId="1" fillId="2" borderId="1" xfId="1" applyAlignment="1">
      <alignment horizontal="left" indent="1"/>
    </xf>
    <xf numFmtId="0" fontId="2" fillId="3" borderId="2" xfId="2" applyAlignment="1">
      <alignment horizontal="left" indent="1"/>
    </xf>
  </cellXfs>
  <cellStyles count="3"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5"/>
  <sheetViews>
    <sheetView tabSelected="1" topLeftCell="A2" workbookViewId="0">
      <selection activeCell="G10" sqref="G10"/>
    </sheetView>
  </sheetViews>
  <sheetFormatPr defaultRowHeight="14.4" x14ac:dyDescent="0.3"/>
  <cols>
    <col min="7" max="7" width="10.77734375" customWidth="1"/>
    <col min="9" max="9" width="10.109375" bestFit="1" customWidth="1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t="s">
        <v>3</v>
      </c>
      <c r="C3" t="s">
        <v>4</v>
      </c>
      <c r="D3">
        <v>6493</v>
      </c>
    </row>
    <row r="4" spans="2:9" x14ac:dyDescent="0.3">
      <c r="B4" t="s">
        <v>5</v>
      </c>
      <c r="C4" t="s">
        <v>6</v>
      </c>
      <c r="D4">
        <v>4369</v>
      </c>
      <c r="F4" s="2" t="s">
        <v>7</v>
      </c>
      <c r="G4" s="3" t="s">
        <v>4</v>
      </c>
      <c r="I4">
        <f>MATCH(G4,State,0)</f>
        <v>1</v>
      </c>
    </row>
    <row r="5" spans="2:9" x14ac:dyDescent="0.3">
      <c r="B5" t="s">
        <v>9</v>
      </c>
      <c r="C5" t="s">
        <v>10</v>
      </c>
      <c r="D5">
        <v>4505</v>
      </c>
      <c r="F5" s="2" t="s">
        <v>11</v>
      </c>
      <c r="G5" s="4" t="str">
        <f>INDEX(B3:D25,MATCH(G4,State,0),1)</f>
        <v>Chandler</v>
      </c>
      <c r="I5" t="str">
        <f>INDEX(B3:D25,3,1)</f>
        <v>Fort Collins</v>
      </c>
    </row>
    <row r="6" spans="2:9" x14ac:dyDescent="0.3">
      <c r="B6" t="s">
        <v>13</v>
      </c>
      <c r="C6" t="s">
        <v>14</v>
      </c>
      <c r="D6">
        <v>8745</v>
      </c>
      <c r="F6" s="2" t="s">
        <v>15</v>
      </c>
      <c r="G6" s="4">
        <f>VLOOKUP(G4,C2:D25,2,FALSE)</f>
        <v>6493</v>
      </c>
      <c r="I6" t="str">
        <f>INDEX(B3:D25,2,1)</f>
        <v>Glendale</v>
      </c>
    </row>
    <row r="7" spans="2:9" x14ac:dyDescent="0.3">
      <c r="B7" t="s">
        <v>16</v>
      </c>
      <c r="C7" t="s">
        <v>17</v>
      </c>
      <c r="D7">
        <v>6273</v>
      </c>
    </row>
    <row r="8" spans="2:9" x14ac:dyDescent="0.3">
      <c r="B8" t="s">
        <v>18</v>
      </c>
      <c r="C8" t="s">
        <v>19</v>
      </c>
      <c r="D8">
        <v>9384</v>
      </c>
      <c r="G8">
        <f>MATCH(G4,State,0)</f>
        <v>1</v>
      </c>
    </row>
    <row r="9" spans="2:9" x14ac:dyDescent="0.3">
      <c r="B9" t="s">
        <v>20</v>
      </c>
      <c r="C9" t="s">
        <v>21</v>
      </c>
      <c r="D9">
        <v>5654</v>
      </c>
      <c r="G9" t="str">
        <f>INDEX(B3:D25,2,2)</f>
        <v>CA</v>
      </c>
    </row>
    <row r="10" spans="2:9" x14ac:dyDescent="0.3">
      <c r="B10" t="s">
        <v>22</v>
      </c>
      <c r="C10" t="s">
        <v>23</v>
      </c>
      <c r="D10">
        <v>3972</v>
      </c>
    </row>
    <row r="11" spans="2:9" x14ac:dyDescent="0.3">
      <c r="B11" t="s">
        <v>24</v>
      </c>
      <c r="C11" t="s">
        <v>25</v>
      </c>
      <c r="D11">
        <v>8816</v>
      </c>
    </row>
    <row r="12" spans="2:9" x14ac:dyDescent="0.3">
      <c r="B12" t="s">
        <v>26</v>
      </c>
      <c r="C12" t="s">
        <v>27</v>
      </c>
      <c r="D12">
        <v>3331</v>
      </c>
    </row>
    <row r="13" spans="2:9" x14ac:dyDescent="0.3">
      <c r="B13" t="s">
        <v>28</v>
      </c>
      <c r="C13" t="s">
        <v>29</v>
      </c>
      <c r="D13">
        <v>3335</v>
      </c>
    </row>
    <row r="14" spans="2:9" x14ac:dyDescent="0.3">
      <c r="B14" t="s">
        <v>12</v>
      </c>
      <c r="C14" t="s">
        <v>8</v>
      </c>
      <c r="D14">
        <v>2608</v>
      </c>
    </row>
    <row r="15" spans="2:9" x14ac:dyDescent="0.3">
      <c r="B15" t="s">
        <v>30</v>
      </c>
      <c r="C15" t="s">
        <v>31</v>
      </c>
      <c r="D15">
        <v>4122</v>
      </c>
    </row>
    <row r="16" spans="2:9" x14ac:dyDescent="0.3">
      <c r="B16" t="s">
        <v>32</v>
      </c>
      <c r="C16" t="s">
        <v>33</v>
      </c>
      <c r="D16">
        <v>1022</v>
      </c>
    </row>
    <row r="17" spans="2:4" x14ac:dyDescent="0.3">
      <c r="B17" t="s">
        <v>34</v>
      </c>
      <c r="C17" t="s">
        <v>35</v>
      </c>
      <c r="D17">
        <v>7681</v>
      </c>
    </row>
    <row r="18" spans="2:4" x14ac:dyDescent="0.3">
      <c r="B18" t="s">
        <v>36</v>
      </c>
      <c r="C18" t="s">
        <v>37</v>
      </c>
      <c r="D18">
        <v>8567</v>
      </c>
    </row>
    <row r="19" spans="2:4" x14ac:dyDescent="0.3">
      <c r="B19" t="s">
        <v>38</v>
      </c>
      <c r="C19" t="s">
        <v>39</v>
      </c>
      <c r="D19">
        <v>3507</v>
      </c>
    </row>
    <row r="20" spans="2:4" x14ac:dyDescent="0.3">
      <c r="B20" t="s">
        <v>40</v>
      </c>
      <c r="C20" t="s">
        <v>41</v>
      </c>
      <c r="D20">
        <v>7326</v>
      </c>
    </row>
    <row r="21" spans="2:4" x14ac:dyDescent="0.3">
      <c r="B21" t="s">
        <v>42</v>
      </c>
      <c r="C21" t="s">
        <v>43</v>
      </c>
      <c r="D21">
        <v>4643</v>
      </c>
    </row>
    <row r="22" spans="2:4" x14ac:dyDescent="0.3">
      <c r="B22" t="s">
        <v>44</v>
      </c>
      <c r="C22" t="s">
        <v>45</v>
      </c>
      <c r="D22">
        <v>8304</v>
      </c>
    </row>
    <row r="23" spans="2:4" x14ac:dyDescent="0.3">
      <c r="B23" t="s">
        <v>46</v>
      </c>
      <c r="C23" t="s">
        <v>47</v>
      </c>
      <c r="D23">
        <v>7676</v>
      </c>
    </row>
    <row r="24" spans="2:4" x14ac:dyDescent="0.3">
      <c r="B24" t="s">
        <v>48</v>
      </c>
      <c r="C24" t="s">
        <v>49</v>
      </c>
      <c r="D24">
        <v>4938</v>
      </c>
    </row>
    <row r="25" spans="2:4" x14ac:dyDescent="0.3">
      <c r="B25" t="s">
        <v>50</v>
      </c>
      <c r="C25" t="s">
        <v>51</v>
      </c>
      <c r="D25">
        <v>1701</v>
      </c>
    </row>
  </sheetData>
  <dataValidations count="1">
    <dataValidation type="list" allowBlank="1" showInputMessage="1" showErrorMessage="1" sqref="G4" xr:uid="{57F7097E-5BD3-4F50-A96D-5AFA7B533071}">
      <formula1>State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2026-03-31T01:18:48Z</dcterms:created>
  <dcterms:modified xsi:type="dcterms:W3CDTF">2026-03-31T02:03:57Z</dcterms:modified>
</cp:coreProperties>
</file>