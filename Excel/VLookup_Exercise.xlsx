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Documents/"/>
    </mc:Choice>
  </mc:AlternateContent>
  <xr:revisionPtr revIDLastSave="101" documentId="11_1F3AD0011585129D929919CDDEA08F9B1584345F" xr6:coauthVersionLast="47" xr6:coauthVersionMax="47" xr10:uidLastSave="{B6F16F52-DD05-478D-89C9-5362A29D1FE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D">Sheet1!$B$3:$B$12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5" i="1"/>
  <c r="O8" i="1"/>
  <c r="M8" i="1"/>
  <c r="O9" i="1" s="1"/>
  <c r="O7" i="1" l="1"/>
  <c r="O11" i="1" s="1"/>
  <c r="O3" i="1" s="1"/>
</calcChain>
</file>

<file path=xl/sharedStrings.xml><?xml version="1.0" encoding="utf-8"?>
<sst xmlns="http://schemas.openxmlformats.org/spreadsheetml/2006/main" count="48" uniqueCount="42">
  <si>
    <t>ID</t>
  </si>
  <si>
    <t>Employee Name</t>
  </si>
  <si>
    <t>Address</t>
  </si>
  <si>
    <t>Frequency</t>
  </si>
  <si>
    <t>Salary</t>
  </si>
  <si>
    <t>Tax Rate</t>
  </si>
  <si>
    <t>Insurance</t>
  </si>
  <si>
    <t>401k</t>
  </si>
  <si>
    <t>Employee ID</t>
  </si>
  <si>
    <t>Check #</t>
  </si>
  <si>
    <t>Net Pay</t>
  </si>
  <si>
    <t>Paige Jones</t>
  </si>
  <si>
    <t>427 John A. Creighton Boulevard Anytown, USA 12345</t>
  </si>
  <si>
    <t>Elijah Ward</t>
  </si>
  <si>
    <t>888 192nd Street Anytown, USA 12345</t>
  </si>
  <si>
    <t>Employee Address</t>
  </si>
  <si>
    <t>Elizabeth Marshall</t>
  </si>
  <si>
    <t>530 Dodge Street Anytown, USA 12345</t>
  </si>
  <si>
    <t>Cooper Smith</t>
  </si>
  <si>
    <t>271 Dodge Street Anytown, USA 12345</t>
  </si>
  <si>
    <t>Pay</t>
  </si>
  <si>
    <t>Deductions</t>
  </si>
  <si>
    <t>Isabella Harris</t>
  </si>
  <si>
    <t>715 136th Street Anytown, USA 12345</t>
  </si>
  <si>
    <t>Taxes</t>
  </si>
  <si>
    <t>Kaylee Perez</t>
  </si>
  <si>
    <t>772 North 30th Street Anytown, USA 12345</t>
  </si>
  <si>
    <t>Kimberly Hall</t>
  </si>
  <si>
    <t>652 Regency Parkway Drive Anytown, USA 12345</t>
  </si>
  <si>
    <t>Retirement</t>
  </si>
  <si>
    <t>Jesus Clark</t>
  </si>
  <si>
    <t>803 Fontenelle Boulevard Anytown, USA 12345</t>
  </si>
  <si>
    <t>Kylie Woods</t>
  </si>
  <si>
    <t>245 Fontenelle Boulevard Anytown, USA 12345</t>
  </si>
  <si>
    <t>Total</t>
  </si>
  <si>
    <t>Jackson Stephens</t>
  </si>
  <si>
    <t>827 Harrison Street Anytown, USA 12345</t>
  </si>
  <si>
    <t>Salary / Frequency</t>
  </si>
  <si>
    <t>(Pay - Insurance - Retirement) * Tax Rate</t>
  </si>
  <si>
    <t>Pay*401K</t>
  </si>
  <si>
    <t>Pay-Total</t>
  </si>
  <si>
    <t>Flat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</si>
</sst>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0" fillId="0" borderId="0" xfId="1" applyNumberFormat="1" applyFont="1"/>
    <xf numFmtId="43" fontId="0" fillId="0" borderId="0" xfId="1" applyFont="1"/>
    <xf numFmtId="9" fontId="0" fillId="0" borderId="0" xfId="1" applyNumberFormat="1" applyFont="1"/>
    <xf numFmtId="0" fontId="0" fillId="2" borderId="3" xfId="0" applyFill="1" applyBorder="1" applyAlignment="1">
      <alignment horizontal="center"/>
    </xf>
    <xf numFmtId="44" fontId="0" fillId="2" borderId="3" xfId="2" applyFont="1" applyFill="1" applyBorder="1"/>
    <xf numFmtId="0" fontId="2" fillId="2" borderId="2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3" xfId="0" applyFill="1" applyBorder="1"/>
    <xf numFmtId="43" fontId="0" fillId="2" borderId="7" xfId="0" applyNumberFormat="1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2" xfId="0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2" borderId="9" xfId="0" applyFill="1" applyBorder="1"/>
    <xf numFmtId="0" fontId="0" fillId="2" borderId="11" xfId="0" applyFill="1" applyBorder="1"/>
    <xf numFmtId="43" fontId="0" fillId="2" borderId="2" xfId="1" applyFont="1" applyFill="1" applyBorder="1"/>
    <xf numFmtId="43" fontId="0" fillId="2" borderId="11" xfId="1" applyFont="1" applyFill="1" applyBorder="1"/>
    <xf numFmtId="43" fontId="0" fillId="2" borderId="3" xfId="1" applyFont="1" applyFill="1" applyBorder="1"/>
    <xf numFmtId="44" fontId="0" fillId="2" borderId="9" xfId="2" applyFont="1" applyFill="1" applyBorder="1"/>
    <xf numFmtId="43" fontId="0" fillId="0" borderId="0" xfId="0" applyNumberFormat="1"/>
    <xf numFmtId="2" fontId="0" fillId="2" borderId="11" xfId="1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B8B1A-B4CD-49FA-9D6A-DB4E9752BC22}" name="Table3" displayName="Table3" ref="B2:I12" totalsRowShown="0" headerRowDxfId="0" dataDxfId="1" headerRowBorderDxfId="7" dataCellStyle="Comma">
  <autoFilter ref="B2:I12" xr:uid="{1B8B8B1A-B4CD-49FA-9D6A-DB4E9752BC22}"/>
  <tableColumns count="8">
    <tableColumn id="1" xr3:uid="{3E43C7CC-A334-4966-A3C9-CCF223E1EDD4}" name="ID"/>
    <tableColumn id="2" xr3:uid="{9325A42F-BB3F-4F2F-A3E9-8494C909A1A9}" name="Employee Name"/>
    <tableColumn id="3" xr3:uid="{8D72B545-328F-4865-BD82-9137595385F5}" name="Address"/>
    <tableColumn id="4" xr3:uid="{3D5855A5-CAF0-4568-9E13-5C06AA136C3D}" name="Frequency" dataDxfId="6" dataCellStyle="Comma"/>
    <tableColumn id="5" xr3:uid="{793555F4-B7C1-4AA1-B45C-7ACF2037F5F0}" name="Salary" dataDxfId="5" dataCellStyle="Comma"/>
    <tableColumn id="6" xr3:uid="{14281BC7-397F-42CE-9640-71073C8636EA}" name="Tax Rate" dataDxfId="4" dataCellStyle="Comma"/>
    <tableColumn id="7" xr3:uid="{3B324F3E-17CA-4164-9452-45F942D2B4FA}" name="Insurance" dataDxfId="3" dataCellStyle="Comma"/>
    <tableColumn id="8" xr3:uid="{009A75C7-80AC-4D1E-8947-8B0B00C95976}" name="401k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3"/>
  <sheetViews>
    <sheetView tabSelected="1" zoomScale="84" zoomScaleNormal="90" workbookViewId="0">
      <selection activeCell="J30" sqref="J30"/>
    </sheetView>
  </sheetViews>
  <sheetFormatPr defaultRowHeight="14.4" x14ac:dyDescent="0.3"/>
  <cols>
    <col min="2" max="2" width="4.6640625" customWidth="1"/>
    <col min="3" max="3" width="16.44140625" customWidth="1"/>
    <col min="4" max="4" width="49" bestFit="1" customWidth="1"/>
    <col min="5" max="5" width="11.5546875" customWidth="1"/>
    <col min="6" max="6" width="11.109375" bestFit="1" customWidth="1"/>
    <col min="7" max="7" width="9.77734375" customWidth="1"/>
    <col min="8" max="8" width="10.88671875" customWidth="1"/>
    <col min="9" max="9" width="6.6640625" customWidth="1"/>
    <col min="12" max="12" width="16.5546875" bestFit="1" customWidth="1"/>
    <col min="13" max="13" width="17.5546875" bestFit="1" customWidth="1"/>
    <col min="14" max="14" width="11" bestFit="1" customWidth="1"/>
    <col min="15" max="15" width="37.664062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L2" s="2" t="s">
        <v>8</v>
      </c>
      <c r="M2" s="2" t="s">
        <v>1</v>
      </c>
      <c r="N2" s="2" t="s">
        <v>9</v>
      </c>
      <c r="O2" s="2" t="s">
        <v>10</v>
      </c>
    </row>
    <row r="3" spans="2:15" x14ac:dyDescent="0.3">
      <c r="B3">
        <v>154</v>
      </c>
      <c r="C3" t="s">
        <v>11</v>
      </c>
      <c r="D3" t="s">
        <v>12</v>
      </c>
      <c r="E3" s="3">
        <v>26</v>
      </c>
      <c r="F3" s="4">
        <v>42900</v>
      </c>
      <c r="G3" s="5">
        <v>0.15</v>
      </c>
      <c r="H3" s="4">
        <v>100</v>
      </c>
      <c r="I3" s="5">
        <v>0.08</v>
      </c>
      <c r="L3" s="6">
        <v>154</v>
      </c>
      <c r="M3" s="6" t="str">
        <f>VLOOKUP(L3,B2:I12,2,FALSE)</f>
        <v>Paige Jones</v>
      </c>
      <c r="N3" s="6">
        <v>164</v>
      </c>
      <c r="O3" s="7">
        <f>M8-O11</f>
        <v>1205.3</v>
      </c>
    </row>
    <row r="4" spans="2:15" x14ac:dyDescent="0.3">
      <c r="B4">
        <v>240</v>
      </c>
      <c r="C4" t="s">
        <v>13</v>
      </c>
      <c r="D4" t="s">
        <v>14</v>
      </c>
      <c r="E4" s="3">
        <v>26</v>
      </c>
      <c r="F4" s="4">
        <v>64600</v>
      </c>
      <c r="G4" s="5">
        <v>0.16</v>
      </c>
      <c r="H4" s="4">
        <v>200</v>
      </c>
      <c r="I4" s="5">
        <v>7.0000000000000007E-2</v>
      </c>
      <c r="L4" s="8" t="s">
        <v>15</v>
      </c>
      <c r="M4" s="9"/>
      <c r="N4" s="10"/>
      <c r="O4" s="11"/>
    </row>
    <row r="5" spans="2:15" x14ac:dyDescent="0.3">
      <c r="B5">
        <v>319</v>
      </c>
      <c r="C5" t="s">
        <v>16</v>
      </c>
      <c r="D5" t="s">
        <v>17</v>
      </c>
      <c r="E5" s="3">
        <v>52</v>
      </c>
      <c r="F5" s="4">
        <v>72300</v>
      </c>
      <c r="G5" s="5">
        <v>0.24</v>
      </c>
      <c r="H5" s="4">
        <v>300</v>
      </c>
      <c r="I5" s="5">
        <v>0.03</v>
      </c>
      <c r="L5" s="12" t="str">
        <f>VLOOKUP(L3,$B$2:$D$12,3,FALSE)</f>
        <v>427 John A. Creighton Boulevard Anytown, USA 12345</v>
      </c>
      <c r="M5" s="13"/>
      <c r="N5" s="14"/>
      <c r="O5" s="15"/>
    </row>
    <row r="6" spans="2:15" x14ac:dyDescent="0.3">
      <c r="B6">
        <v>331</v>
      </c>
      <c r="C6" t="s">
        <v>18</v>
      </c>
      <c r="D6" t="s">
        <v>19</v>
      </c>
      <c r="E6" s="3">
        <v>12</v>
      </c>
      <c r="F6" s="4">
        <v>99700</v>
      </c>
      <c r="G6" s="5">
        <v>0.2</v>
      </c>
      <c r="H6" s="4">
        <v>300</v>
      </c>
      <c r="I6" s="5">
        <v>0.05</v>
      </c>
      <c r="L6" s="16"/>
      <c r="M6" s="17" t="s">
        <v>20</v>
      </c>
      <c r="N6" s="18" t="s">
        <v>21</v>
      </c>
      <c r="O6" s="19"/>
    </row>
    <row r="7" spans="2:15" x14ac:dyDescent="0.3">
      <c r="B7">
        <v>428</v>
      </c>
      <c r="C7" t="s">
        <v>22</v>
      </c>
      <c r="D7" t="s">
        <v>23</v>
      </c>
      <c r="E7" s="3">
        <v>26</v>
      </c>
      <c r="F7" s="4">
        <v>57600</v>
      </c>
      <c r="G7" s="5">
        <v>0.25</v>
      </c>
      <c r="H7" s="4">
        <v>100</v>
      </c>
      <c r="I7" s="5">
        <v>0.05</v>
      </c>
      <c r="L7" s="20"/>
      <c r="M7" s="21" t="s">
        <v>37</v>
      </c>
      <c r="N7" s="16" t="s">
        <v>24</v>
      </c>
      <c r="O7" s="21">
        <f>(M8-O8-O9)*VLOOKUP(L3,B2:I12,6,FALSE)</f>
        <v>212.7</v>
      </c>
    </row>
    <row r="8" spans="2:15" x14ac:dyDescent="0.3">
      <c r="B8">
        <v>451</v>
      </c>
      <c r="C8" t="s">
        <v>25</v>
      </c>
      <c r="D8" t="s">
        <v>26</v>
      </c>
      <c r="E8" s="3">
        <v>12</v>
      </c>
      <c r="F8" s="4">
        <v>82800</v>
      </c>
      <c r="G8" s="5">
        <v>0.23</v>
      </c>
      <c r="H8" s="4">
        <v>200</v>
      </c>
      <c r="I8" s="5">
        <v>7.0000000000000007E-2</v>
      </c>
      <c r="L8" s="20"/>
      <c r="M8" s="20">
        <f>VLOOKUP(L3,B2:I12,5,FALSE) / VLOOKUP(L3,B2:I12,4,FALSE)</f>
        <v>1650</v>
      </c>
      <c r="N8" s="20" t="s">
        <v>6</v>
      </c>
      <c r="O8" s="22">
        <f>VLOOKUP(L3,B2:I12,7,FALSE)</f>
        <v>100</v>
      </c>
    </row>
    <row r="9" spans="2:15" x14ac:dyDescent="0.3">
      <c r="B9">
        <v>527</v>
      </c>
      <c r="C9" t="s">
        <v>27</v>
      </c>
      <c r="D9" t="s">
        <v>28</v>
      </c>
      <c r="E9" s="3">
        <v>12</v>
      </c>
      <c r="F9" s="4">
        <v>41700</v>
      </c>
      <c r="G9" s="5">
        <v>0.17</v>
      </c>
      <c r="H9" s="4">
        <v>300</v>
      </c>
      <c r="I9" s="5">
        <v>0.04</v>
      </c>
      <c r="L9" s="20"/>
      <c r="M9" s="20"/>
      <c r="N9" s="20" t="s">
        <v>29</v>
      </c>
      <c r="O9" s="26">
        <f>(M8)*VLOOKUP(L3,B2:I12,8,FALSE)</f>
        <v>132</v>
      </c>
    </row>
    <row r="10" spans="2:15" x14ac:dyDescent="0.3">
      <c r="B10">
        <v>540</v>
      </c>
      <c r="C10" t="s">
        <v>30</v>
      </c>
      <c r="D10" t="s">
        <v>31</v>
      </c>
      <c r="E10" s="3">
        <v>52</v>
      </c>
      <c r="F10" s="4">
        <v>83100</v>
      </c>
      <c r="G10" s="5">
        <v>0.18</v>
      </c>
      <c r="H10" s="4">
        <v>200</v>
      </c>
      <c r="I10" s="5">
        <v>0.05</v>
      </c>
      <c r="L10" s="20"/>
      <c r="M10" s="12"/>
      <c r="N10" s="12"/>
      <c r="O10" s="23"/>
    </row>
    <row r="11" spans="2:15" x14ac:dyDescent="0.3">
      <c r="B11">
        <v>665</v>
      </c>
      <c r="C11" t="s">
        <v>32</v>
      </c>
      <c r="D11" t="s">
        <v>33</v>
      </c>
      <c r="E11" s="3">
        <v>26</v>
      </c>
      <c r="F11" s="4">
        <v>70400</v>
      </c>
      <c r="G11" s="5">
        <v>0.21</v>
      </c>
      <c r="H11" s="4">
        <v>100</v>
      </c>
      <c r="I11" s="5">
        <v>0.01</v>
      </c>
      <c r="L11" s="12"/>
      <c r="M11" s="19"/>
      <c r="N11" s="19" t="s">
        <v>34</v>
      </c>
      <c r="O11" s="24">
        <f>SUM(O7:O10)</f>
        <v>444.7</v>
      </c>
    </row>
    <row r="12" spans="2:15" x14ac:dyDescent="0.3">
      <c r="B12">
        <v>981</v>
      </c>
      <c r="C12" t="s">
        <v>35</v>
      </c>
      <c r="D12" t="s">
        <v>36</v>
      </c>
      <c r="E12" s="3">
        <v>52</v>
      </c>
      <c r="F12" s="4">
        <v>50200</v>
      </c>
      <c r="G12" s="5">
        <v>0.18</v>
      </c>
      <c r="H12" s="4">
        <v>100</v>
      </c>
      <c r="I12" s="5">
        <v>0.08</v>
      </c>
      <c r="O12" s="25"/>
    </row>
    <row r="13" spans="2:15" x14ac:dyDescent="0.3">
      <c r="O13" s="25"/>
    </row>
    <row r="20" spans="14:15" x14ac:dyDescent="0.3">
      <c r="N20" t="s">
        <v>6</v>
      </c>
      <c r="O20" t="s">
        <v>41</v>
      </c>
    </row>
    <row r="21" spans="14:15" x14ac:dyDescent="0.3">
      <c r="N21" t="s">
        <v>24</v>
      </c>
      <c r="O21" t="s">
        <v>38</v>
      </c>
    </row>
    <row r="22" spans="14:15" x14ac:dyDescent="0.3">
      <c r="N22" t="s">
        <v>29</v>
      </c>
      <c r="O22" t="s">
        <v>39</v>
      </c>
    </row>
    <row r="23" spans="14:15" x14ac:dyDescent="0.3">
      <c r="N23" t="s">
        <v>10</v>
      </c>
      <c r="O23" t="s">
        <v>40</v>
      </c>
    </row>
  </sheetData>
  <dataValidations count="1">
    <dataValidation type="list" allowBlank="1" showInputMessage="1" showErrorMessage="1" sqref="L3" xr:uid="{60A20F33-3C8D-4AA2-85C0-01B4C54FEA59}">
      <formula1>ID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2026-03-30T01:24:06Z</dcterms:created>
  <dcterms:modified xsi:type="dcterms:W3CDTF">2026-03-30T03:14:27Z</dcterms:modified>
</cp:coreProperties>
</file>