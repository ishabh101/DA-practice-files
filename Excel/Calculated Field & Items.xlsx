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39" documentId="11_48DE41497F826FF6A6EB03DEB24B505E3FE42E85" xr6:coauthVersionLast="47" xr6:coauthVersionMax="47" xr10:uidLastSave="{20177AF9-6547-4B29-883B-1852CA5D75A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14" r:id="rId2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<sst xmlns="http://schemas.openxmlformats.org/spreadsheetml/2006/main" count="184" uniqueCount="34">
  <si>
    <t>SalesRep</t>
  </si>
  <si>
    <t>Region</t>
  </si>
  <si>
    <t>Month</t>
  </si>
  <si>
    <t>Sales</t>
  </si>
  <si>
    <t>Units Sold</t>
  </si>
  <si>
    <t>Amy</t>
  </si>
  <si>
    <t>North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</si>
  <si>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</si>
  <si>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</si>
  <si>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</si>
  <si>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</si>
  <si>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</si>
  <si>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</si>
  <si>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</si>
  <si>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</si>
  <si>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</si>
  <si>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</si>
  <si>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</si>
  <si>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</si>
  <si>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Bob</t>
  </si>
  <si>
    <t>Chuck</t>
  </si>
  <si>
    <t>South</t>
  </si>
  <si>
    <t>Doug</t>
  </si>
  <si>
    <t>Grand Total</t>
  </si>
  <si>
    <t>Sum of Sales</t>
  </si>
  <si>
    <t>Total Sum of Sales</t>
  </si>
  <si>
    <t>Total Sum of Average Unit Price</t>
  </si>
  <si>
    <t>Sum of Average Unit Price</t>
  </si>
  <si>
    <t>QTR1 Commission</t>
  </si>
  <si>
    <t>QTR2 Commission</t>
  </si>
  <si>
    <t>QTR3 Commission</t>
  </si>
  <si>
    <t>QTR4 Commission</t>
  </si>
  <si>
    <t>Quarterly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</si>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</sst>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a Bhatta" refreshedDate="46119.346440393521" createdVersion="8" refreshedVersion="8" minRefreshableVersion="3" recordCount="48" xr:uid="{11AAFEF8-8345-4CFE-A151-41F28F61070E}">
  <cacheSource type="worksheet">
    <worksheetSource name="Table1"/>
  </cacheSource>
  <cacheFields count="8">
    <cacheField name="SalesRep" numFmtId="0">
      <sharedItems count="4">
        <s v="Amy"/>
        <s v="Bob"/>
        <s v="Chuck"/>
        <s v="Doug"/>
      </sharedItems>
    </cacheField>
    <cacheField name="Region" numFmtId="0">
      <sharedItems/>
    </cacheField>
    <cacheField name="Month" numFmtId="0">
      <sharedItems count="16">
        <s v="Jan"/>
        <s v="Feb"/>
        <s v="Mar"/>
        <s v="Apr"/>
        <s v="May"/>
        <s v="Jun"/>
        <s v="Jul"/>
        <s v="Aug"/>
        <s v="Sep"/>
        <s v="Oct"/>
        <s v="Nov"/>
        <s v="Dec"/>
        <s v="QTR1 Commission" f="1"/>
        <s v="QTR2 Commission" f="1"/>
        <s v="QTR3 Commission" f="1"/>
        <s v="QTR4 Commission" f="1"/>
      </sharedItems>
      <fieldGroup par="7"/>
    </cacheField>
    <cacheField name="Sales" numFmtId="164">
      <sharedItems containsSemiMixedTypes="0" containsString="0" containsNumber="1" containsInteger="1" minValue="19625" maxValue="29953"/>
    </cacheField>
    <cacheField name="Units Sold" numFmtId="164">
      <sharedItems containsSemiMixedTypes="0" containsString="0" containsNumber="1" containsInteger="1" minValue="68" maxValue="852" count="40">
        <n v="239"/>
        <n v="79"/>
        <n v="71"/>
        <n v="157"/>
        <n v="92"/>
        <n v="175"/>
        <n v="87"/>
        <n v="557"/>
        <n v="95"/>
        <n v="706"/>
        <n v="180"/>
        <n v="103"/>
        <n v="267"/>
        <n v="96"/>
        <n v="74"/>
        <n v="231"/>
        <n v="164"/>
        <n v="68"/>
        <n v="114"/>
        <n v="84"/>
        <n v="260"/>
        <n v="109"/>
        <n v="465"/>
        <n v="148"/>
        <n v="83"/>
        <n v="453"/>
        <n v="760"/>
        <n v="155"/>
        <n v="769"/>
        <n v="70"/>
        <n v="178"/>
        <n v="852"/>
        <n v="86"/>
        <n v="223"/>
        <n v="242"/>
        <n v="82"/>
        <n v="146"/>
        <n v="120"/>
        <n v="81"/>
        <n v="198"/>
      </sharedItems>
    </cacheField>
    <cacheField name="Average" numFmtId="0" formula="Sales/'Units Sold'" databaseField="0"/>
    <cacheField name="Average Unit Price" numFmtId="0" formula="Sales/'Units Sold'" databaseField="0"/>
    <cacheField name="Month2" numFmtId="0" databaseField="0">
      <fieldGroup base="2">
        <discretePr count="16"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1"/>
          <x v="1"/>
          <x v="1"/>
        </discretePr>
        <groupItems count="2">
          <s v="Group1"/>
          <s v="Group2"/>
        </groupItems>
      </fieldGroup>
    </cacheField>
  </cacheFields>
  <calculatedItems count="5">
    <calculatedItem formula=" (Month[Jan]+Month[Feb]+Month[Mar])*0.1">
      <pivotArea cacheIndex="1" outline="0" fieldPosition="0">
        <references count="1">
          <reference field="2" count="1">
            <x v="12"/>
          </reference>
        </references>
      </pivotArea>
    </calculatedItem>
    <calculatedItem field="3" formula=" (Month[Jan]+Month[Feb]+Month[Mar])*0.1">
      <pivotArea field="3" cacheIndex="1" fieldPosition="0">
        <references count="2">
          <reference field="0" count="1">
            <x v="0"/>
          </reference>
          <reference field="2" count="1">
            <x v="12"/>
          </reference>
        </references>
      </pivotArea>
    </calculatedItem>
    <calculatedItem formula=" (Month[Apr]+Month[May]+Month[Jun])*12%">
      <pivotArea cacheIndex="1" outline="0" fieldPosition="0">
        <references count="1">
          <reference field="2" count="1">
            <x v="13"/>
          </reference>
        </references>
      </pivotArea>
    </calculatedItem>
    <calculatedItem formula=" (Month[Jul]+Month[Aug]+Month[Sep])*14%">
      <pivotArea cacheIndex="1" outline="0" fieldPosition="0">
        <references count="1">
          <reference field="2" count="1">
            <x v="14"/>
          </reference>
        </references>
      </pivotArea>
    </calculatedItem>
    <calculatedItem formula=" (Month[Oct]+Month[Nov]+Month[Dec])*20%">
      <pivotArea cacheIndex="1" outline="0" fieldPosition="0">
        <references count="1">
          <reference field="2" count="1">
            <x v="1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North"/>
    <x v="0"/>
    <n v="23040"/>
    <x v="0"/>
  </r>
  <r>
    <x v="0"/>
    <s v="North"/>
    <x v="1"/>
    <n v="24131"/>
    <x v="1"/>
  </r>
  <r>
    <x v="0"/>
    <s v="North"/>
    <x v="2"/>
    <n v="24646"/>
    <x v="2"/>
  </r>
  <r>
    <x v="0"/>
    <s v="North"/>
    <x v="3"/>
    <n v="22047"/>
    <x v="2"/>
  </r>
  <r>
    <x v="0"/>
    <s v="North"/>
    <x v="4"/>
    <n v="24971"/>
    <x v="3"/>
  </r>
  <r>
    <x v="0"/>
    <s v="North"/>
    <x v="5"/>
    <n v="24218"/>
    <x v="4"/>
  </r>
  <r>
    <x v="0"/>
    <s v="North"/>
    <x v="6"/>
    <n v="25735"/>
    <x v="5"/>
  </r>
  <r>
    <x v="0"/>
    <s v="North"/>
    <x v="7"/>
    <n v="23638"/>
    <x v="6"/>
  </r>
  <r>
    <x v="0"/>
    <s v="North"/>
    <x v="8"/>
    <n v="25749"/>
    <x v="7"/>
  </r>
  <r>
    <x v="0"/>
    <s v="North"/>
    <x v="9"/>
    <n v="24437"/>
    <x v="8"/>
  </r>
  <r>
    <x v="0"/>
    <s v="North"/>
    <x v="10"/>
    <n v="25355"/>
    <x v="9"/>
  </r>
  <r>
    <x v="0"/>
    <s v="North"/>
    <x v="11"/>
    <n v="25899"/>
    <x v="10"/>
  </r>
  <r>
    <x v="1"/>
    <s v="North"/>
    <x v="0"/>
    <n v="20024"/>
    <x v="11"/>
  </r>
  <r>
    <x v="1"/>
    <s v="North"/>
    <x v="1"/>
    <n v="23822"/>
    <x v="12"/>
  </r>
  <r>
    <x v="1"/>
    <s v="North"/>
    <x v="2"/>
    <n v="24854"/>
    <x v="13"/>
  </r>
  <r>
    <x v="1"/>
    <s v="North"/>
    <x v="3"/>
    <n v="22838"/>
    <x v="14"/>
  </r>
  <r>
    <x v="1"/>
    <s v="North"/>
    <x v="4"/>
    <n v="25320"/>
    <x v="15"/>
  </r>
  <r>
    <x v="1"/>
    <s v="North"/>
    <x v="5"/>
    <n v="24733"/>
    <x v="16"/>
  </r>
  <r>
    <x v="1"/>
    <s v="North"/>
    <x v="6"/>
    <n v="21184"/>
    <x v="17"/>
  </r>
  <r>
    <x v="1"/>
    <s v="North"/>
    <x v="7"/>
    <n v="23174"/>
    <x v="18"/>
  </r>
  <r>
    <x v="1"/>
    <s v="North"/>
    <x v="8"/>
    <n v="25999"/>
    <x v="19"/>
  </r>
  <r>
    <x v="1"/>
    <s v="North"/>
    <x v="9"/>
    <n v="22639"/>
    <x v="20"/>
  </r>
  <r>
    <x v="1"/>
    <s v="North"/>
    <x v="10"/>
    <n v="23949"/>
    <x v="21"/>
  </r>
  <r>
    <x v="1"/>
    <s v="North"/>
    <x v="11"/>
    <n v="23179"/>
    <x v="22"/>
  </r>
  <r>
    <x v="2"/>
    <s v="South"/>
    <x v="0"/>
    <n v="19886"/>
    <x v="8"/>
  </r>
  <r>
    <x v="2"/>
    <s v="South"/>
    <x v="1"/>
    <n v="23494"/>
    <x v="23"/>
  </r>
  <r>
    <x v="2"/>
    <s v="South"/>
    <x v="2"/>
    <n v="21824"/>
    <x v="24"/>
  </r>
  <r>
    <x v="2"/>
    <s v="South"/>
    <x v="3"/>
    <n v="22058"/>
    <x v="13"/>
  </r>
  <r>
    <x v="2"/>
    <s v="South"/>
    <x v="4"/>
    <n v="20280"/>
    <x v="25"/>
  </r>
  <r>
    <x v="2"/>
    <s v="South"/>
    <x v="5"/>
    <n v="23965"/>
    <x v="26"/>
  </r>
  <r>
    <x v="2"/>
    <s v="South"/>
    <x v="6"/>
    <n v="23032"/>
    <x v="27"/>
  </r>
  <r>
    <x v="2"/>
    <s v="South"/>
    <x v="7"/>
    <n v="21273"/>
    <x v="28"/>
  </r>
  <r>
    <x v="2"/>
    <s v="South"/>
    <x v="8"/>
    <n v="21584"/>
    <x v="18"/>
  </r>
  <r>
    <x v="2"/>
    <s v="South"/>
    <x v="9"/>
    <n v="19625"/>
    <x v="24"/>
  </r>
  <r>
    <x v="2"/>
    <s v="South"/>
    <x v="10"/>
    <n v="19832"/>
    <x v="29"/>
  </r>
  <r>
    <x v="2"/>
    <s v="South"/>
    <x v="11"/>
    <n v="20583"/>
    <x v="30"/>
  </r>
  <r>
    <x v="3"/>
    <s v="South"/>
    <x v="0"/>
    <n v="26264"/>
    <x v="4"/>
  </r>
  <r>
    <x v="3"/>
    <s v="South"/>
    <x v="1"/>
    <n v="29953"/>
    <x v="31"/>
  </r>
  <r>
    <x v="3"/>
    <s v="South"/>
    <x v="2"/>
    <n v="25041"/>
    <x v="32"/>
  </r>
  <r>
    <x v="3"/>
    <s v="South"/>
    <x v="3"/>
    <n v="29338"/>
    <x v="33"/>
  </r>
  <r>
    <x v="3"/>
    <s v="South"/>
    <x v="4"/>
    <n v="25150"/>
    <x v="34"/>
  </r>
  <r>
    <x v="3"/>
    <s v="South"/>
    <x v="5"/>
    <n v="27371"/>
    <x v="8"/>
  </r>
  <r>
    <x v="3"/>
    <s v="South"/>
    <x v="6"/>
    <n v="25044"/>
    <x v="35"/>
  </r>
  <r>
    <x v="3"/>
    <s v="South"/>
    <x v="7"/>
    <n v="29506"/>
    <x v="11"/>
  </r>
  <r>
    <x v="3"/>
    <s v="South"/>
    <x v="8"/>
    <n v="29061"/>
    <x v="36"/>
  </r>
  <r>
    <x v="3"/>
    <s v="South"/>
    <x v="9"/>
    <n v="27113"/>
    <x v="37"/>
  </r>
  <r>
    <x v="3"/>
    <s v="South"/>
    <x v="10"/>
    <n v="25953"/>
    <x v="38"/>
  </r>
  <r>
    <x v="3"/>
    <s v="South"/>
    <x v="11"/>
    <n v="28670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5462E-0F9A-4B79-A2E3-4C908DA89D8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SalesRep">
  <location ref="H3:R24" firstHeaderRow="1" firstDataRow="3" firstDataCol="1"/>
  <pivotFields count="8"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f="1" x="13"/>
        <item f="1" x="14"/>
        <item f="1" x="15"/>
        <item t="default"/>
      </items>
    </pivotField>
    <pivotField dataField="1" numFmtId="164" showAll="0"/>
    <pivotField numFmtId="164" showAll="0"/>
    <pivotField dragToRow="0" dragToCol="0" dragToPage="0" showAll="0" defaultSubtotal="0"/>
    <pivotField dataField="1" dragToRow="0" dragToCol="0" dragToPage="0" showAll="0" defaultSubtotal="0"/>
    <pivotField axis="axisRow" showAll="0">
      <items count="3">
        <item n="Monthly" x="0"/>
        <item n="Quarterly" x="1"/>
        <item t="default"/>
      </items>
    </pivotField>
  </pivotFields>
  <rowFields count="2">
    <field x="7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t="grand">
      <x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3" baseField="0" baseItem="0" numFmtId="165"/>
    <dataField name="Sum of Average Unit Price" fld="6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857B7-4877-4C03-8B1F-176305D7EEE6}" name="Table1" displayName="Table1" ref="A1:E49" totalsRowShown="0">
  <autoFilter ref="A1:E49" xr:uid="{139857B7-4877-4C03-8B1F-176305D7EEE6}"/>
  <tableColumns count="5">
    <tableColumn id="1" xr3:uid="{B5BE383D-473E-4AF9-8FDD-53ABC9B93294}" name="SalesRep"/>
    <tableColumn id="2" xr3:uid="{AAAEC9F3-A7EB-4BE0-B023-B06C4DC63151}" name="Region"/>
    <tableColumn id="3" xr3:uid="{31EB97D7-4B38-42D9-9283-A83545E8EE1C}" name="Month"/>
    <tableColumn id="4" xr3:uid="{9C87B3DC-8BC9-4763-BF2E-B9A0BF76B9AC}" name="Sales" dataDxfId="1" dataCellStyle="Comma"/>
    <tableColumn id="5" xr3:uid="{10EAEF45-5136-4288-BAD3-76DD917FCBE9}" name="Units Sold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topLeftCell="E1" zoomScale="89" workbookViewId="0">
      <selection activeCell="K29" sqref="K29"/>
    </sheetView>
  </sheetViews>
  <sheetFormatPr defaultRowHeight="14.4" x14ac:dyDescent="0.3"/>
  <cols>
    <col min="1" max="1" width="10.33203125" customWidth="1"/>
    <col min="5" max="5" width="11.33203125" customWidth="1"/>
    <col min="8" max="8" width="20" bestFit="1" customWidth="1"/>
    <col min="9" max="9" width="11.6640625" bestFit="1" customWidth="1"/>
    <col min="10" max="10" width="23.21875" bestFit="1" customWidth="1"/>
    <col min="11" max="11" width="11.6640625" bestFit="1" customWidth="1"/>
    <col min="12" max="12" width="23.21875" bestFit="1" customWidth="1"/>
    <col min="13" max="13" width="11.6640625" bestFit="1" customWidth="1"/>
    <col min="14" max="14" width="23.21875" bestFit="1" customWidth="1"/>
    <col min="15" max="15" width="11.6640625" bestFit="1" customWidth="1"/>
    <col min="16" max="16" width="23.21875" bestFit="1" customWidth="1"/>
    <col min="17" max="17" width="16.44140625" bestFit="1" customWidth="1"/>
    <col min="18" max="18" width="28" bestFit="1" customWidth="1"/>
    <col min="19" max="22" width="7.88671875" bestFit="1" customWidth="1"/>
    <col min="23" max="23" width="9.109375" bestFit="1" customWidth="1"/>
    <col min="24" max="27" width="7.88671875" bestFit="1" customWidth="1"/>
    <col min="28" max="28" width="8.6640625" bestFit="1" customWidth="1"/>
    <col min="29" max="32" width="7.88671875" bestFit="1" customWidth="1"/>
    <col min="33" max="33" width="9.44140625" bestFit="1" customWidth="1"/>
    <col min="34" max="37" width="7.88671875" bestFit="1" customWidth="1"/>
    <col min="39" max="47" width="7.88671875" bestFit="1" customWidth="1"/>
    <col min="48" max="48" width="9" bestFit="1" customWidth="1"/>
    <col min="49" max="52" width="7.88671875" bestFit="1" customWidth="1"/>
    <col min="54" max="57" width="7.88671875" bestFit="1" customWidth="1"/>
    <col min="58" max="58" width="8.5546875" bestFit="1" customWidth="1"/>
    <col min="59" max="62" width="7.88671875" bestFit="1" customWidth="1"/>
    <col min="63" max="63" width="9.109375" bestFit="1" customWidth="1"/>
    <col min="64" max="67" width="7.88671875" bestFit="1" customWidth="1"/>
    <col min="68" max="68" width="8.77734375" bestFit="1" customWidth="1"/>
    <col min="69" max="69" width="10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x14ac:dyDescent="0.3">
      <c r="A2" t="s">
        <v>5</v>
      </c>
      <c r="B2" t="s">
        <v>6</v>
      </c>
      <c r="C2" t="s">
        <v>7</v>
      </c>
      <c r="D2" s="1">
        <v>23040</v>
      </c>
      <c r="E2" s="1">
        <v>239</v>
      </c>
    </row>
    <row r="3" spans="1:18" x14ac:dyDescent="0.3">
      <c r="A3" t="s">
        <v>5</v>
      </c>
      <c r="B3" t="s">
        <v>6</v>
      </c>
      <c r="C3" t="s">
        <v>8</v>
      </c>
      <c r="D3" s="1">
        <v>24131</v>
      </c>
      <c r="E3" s="1">
        <v>79</v>
      </c>
      <c r="I3" s="2" t="s">
        <v>0</v>
      </c>
    </row>
    <row r="4" spans="1:18" x14ac:dyDescent="0.3">
      <c r="A4" t="s">
        <v>5</v>
      </c>
      <c r="B4" t="s">
        <v>6</v>
      </c>
      <c r="C4" t="s">
        <v>9</v>
      </c>
      <c r="D4" s="1">
        <v>24646</v>
      </c>
      <c r="E4" s="1">
        <v>71</v>
      </c>
      <c r="I4" t="s">
        <v>5</v>
      </c>
      <c r="K4" t="s">
        <v>19</v>
      </c>
      <c r="M4" t="s">
        <v>20</v>
      </c>
      <c r="O4" t="s">
        <v>22</v>
      </c>
      <c r="Q4" t="s">
        <v>25</v>
      </c>
      <c r="R4" t="s">
        <v>26</v>
      </c>
    </row>
    <row r="5" spans="1:18" x14ac:dyDescent="0.3">
      <c r="A5" t="s">
        <v>5</v>
      </c>
      <c r="B5" t="s">
        <v>6</v>
      </c>
      <c r="C5" t="s">
        <v>10</v>
      </c>
      <c r="D5" s="1">
        <v>22047</v>
      </c>
      <c r="E5" s="1">
        <v>71</v>
      </c>
      <c r="H5" s="2" t="s">
        <v>2</v>
      </c>
      <c r="I5" t="s">
        <v>24</v>
      </c>
      <c r="J5" t="s">
        <v>27</v>
      </c>
      <c r="K5" t="s">
        <v>24</v>
      </c>
      <c r="L5" t="s">
        <v>27</v>
      </c>
      <c r="M5" t="s">
        <v>24</v>
      </c>
      <c r="N5" t="s">
        <v>27</v>
      </c>
      <c r="O5" t="s">
        <v>24</v>
      </c>
      <c r="P5" t="s">
        <v>27</v>
      </c>
    </row>
    <row r="6" spans="1:18" x14ac:dyDescent="0.3">
      <c r="A6" t="s">
        <v>5</v>
      </c>
      <c r="B6" t="s">
        <v>6</v>
      </c>
      <c r="C6" t="s">
        <v>11</v>
      </c>
      <c r="D6" s="1">
        <v>24971</v>
      </c>
      <c r="E6" s="1">
        <v>157</v>
      </c>
      <c r="H6" s="3" t="s">
        <v>33</v>
      </c>
      <c r="I6" s="5">
        <v>293866</v>
      </c>
      <c r="J6" s="4">
        <v>117.12475089677162</v>
      </c>
      <c r="K6" s="5">
        <v>281715</v>
      </c>
      <c r="L6" s="4">
        <v>138.43488943488944</v>
      </c>
      <c r="M6" s="5">
        <v>257436</v>
      </c>
      <c r="N6" s="4">
        <v>85.69773635153129</v>
      </c>
      <c r="O6" s="5">
        <v>328464</v>
      </c>
      <c r="P6" s="4">
        <v>141.57931034482758</v>
      </c>
      <c r="Q6" s="5">
        <v>1161481</v>
      </c>
      <c r="R6" s="4">
        <v>117.70176327523308</v>
      </c>
    </row>
    <row r="7" spans="1:18" x14ac:dyDescent="0.3">
      <c r="A7" t="s">
        <v>5</v>
      </c>
      <c r="B7" t="s">
        <v>6</v>
      </c>
      <c r="C7" t="s">
        <v>12</v>
      </c>
      <c r="D7" s="1">
        <v>24218</v>
      </c>
      <c r="E7" s="1">
        <v>92</v>
      </c>
      <c r="H7" s="6" t="s">
        <v>7</v>
      </c>
      <c r="I7" s="5">
        <v>23040</v>
      </c>
      <c r="J7" s="4">
        <v>96.40167364016736</v>
      </c>
      <c r="K7" s="5">
        <v>20024</v>
      </c>
      <c r="L7" s="4">
        <v>194.40776699029126</v>
      </c>
      <c r="M7" s="5">
        <v>19886</v>
      </c>
      <c r="N7" s="4">
        <v>209.32631578947368</v>
      </c>
      <c r="O7" s="5">
        <v>26264</v>
      </c>
      <c r="P7" s="4">
        <v>285.47826086956519</v>
      </c>
      <c r="Q7" s="5">
        <v>89214</v>
      </c>
      <c r="R7" s="4">
        <v>168.64650283553874</v>
      </c>
    </row>
    <row r="8" spans="1:18" x14ac:dyDescent="0.3">
      <c r="A8" t="s">
        <v>5</v>
      </c>
      <c r="B8" t="s">
        <v>6</v>
      </c>
      <c r="C8" t="s">
        <v>13</v>
      </c>
      <c r="D8" s="1">
        <v>25735</v>
      </c>
      <c r="E8" s="1">
        <v>175</v>
      </c>
      <c r="H8" s="6" t="s">
        <v>8</v>
      </c>
      <c r="I8" s="5">
        <v>24131</v>
      </c>
      <c r="J8" s="4">
        <v>305.45569620253167</v>
      </c>
      <c r="K8" s="5">
        <v>23822</v>
      </c>
      <c r="L8" s="4">
        <v>89.220973782771537</v>
      </c>
      <c r="M8" s="5">
        <v>23494</v>
      </c>
      <c r="N8" s="4">
        <v>158.74324324324326</v>
      </c>
      <c r="O8" s="5">
        <v>29953</v>
      </c>
      <c r="P8" s="4">
        <v>35.156103286384976</v>
      </c>
      <c r="Q8" s="5">
        <v>101400</v>
      </c>
      <c r="R8" s="4">
        <v>75.334323922734029</v>
      </c>
    </row>
    <row r="9" spans="1:18" x14ac:dyDescent="0.3">
      <c r="A9" t="s">
        <v>5</v>
      </c>
      <c r="B9" t="s">
        <v>6</v>
      </c>
      <c r="C9" t="s">
        <v>14</v>
      </c>
      <c r="D9" s="1">
        <v>23638</v>
      </c>
      <c r="E9" s="1">
        <v>87</v>
      </c>
      <c r="H9" s="6" t="s">
        <v>9</v>
      </c>
      <c r="I9" s="5">
        <v>24646</v>
      </c>
      <c r="J9" s="4">
        <v>347.12676056338029</v>
      </c>
      <c r="K9" s="5">
        <v>24854</v>
      </c>
      <c r="L9" s="4">
        <v>258.89583333333331</v>
      </c>
      <c r="M9" s="5">
        <v>21824</v>
      </c>
      <c r="N9" s="4">
        <v>262.93975903614455</v>
      </c>
      <c r="O9" s="5">
        <v>25041</v>
      </c>
      <c r="P9" s="4">
        <v>291.17441860465118</v>
      </c>
      <c r="Q9" s="5">
        <v>96365</v>
      </c>
      <c r="R9" s="4">
        <v>286.80059523809524</v>
      </c>
    </row>
    <row r="10" spans="1:18" x14ac:dyDescent="0.3">
      <c r="A10" t="s">
        <v>5</v>
      </c>
      <c r="B10" t="s">
        <v>6</v>
      </c>
      <c r="C10" t="s">
        <v>15</v>
      </c>
      <c r="D10" s="1">
        <v>25749</v>
      </c>
      <c r="E10" s="1">
        <v>557</v>
      </c>
      <c r="H10" s="6" t="s">
        <v>10</v>
      </c>
      <c r="I10" s="5">
        <v>22047</v>
      </c>
      <c r="J10" s="4">
        <v>310.52112676056339</v>
      </c>
      <c r="K10" s="5">
        <v>22838</v>
      </c>
      <c r="L10" s="4">
        <v>308.62162162162161</v>
      </c>
      <c r="M10" s="5">
        <v>22058</v>
      </c>
      <c r="N10" s="4">
        <v>229.77083333333334</v>
      </c>
      <c r="O10" s="5">
        <v>29338</v>
      </c>
      <c r="P10" s="4">
        <v>131.56053811659191</v>
      </c>
      <c r="Q10" s="5">
        <v>96281</v>
      </c>
      <c r="R10" s="4">
        <v>207.50215517241378</v>
      </c>
    </row>
    <row r="11" spans="1:18" x14ac:dyDescent="0.3">
      <c r="A11" t="s">
        <v>5</v>
      </c>
      <c r="B11" t="s">
        <v>6</v>
      </c>
      <c r="C11" t="s">
        <v>16</v>
      </c>
      <c r="D11" s="1">
        <v>24437</v>
      </c>
      <c r="E11" s="1">
        <v>95</v>
      </c>
      <c r="H11" s="6" t="s">
        <v>11</v>
      </c>
      <c r="I11" s="5">
        <v>24971</v>
      </c>
      <c r="J11" s="4">
        <v>159.05095541401275</v>
      </c>
      <c r="K11" s="5">
        <v>25320</v>
      </c>
      <c r="L11" s="4">
        <v>109.6103896103896</v>
      </c>
      <c r="M11" s="5">
        <v>20280</v>
      </c>
      <c r="N11" s="4">
        <v>44.768211920529801</v>
      </c>
      <c r="O11" s="5">
        <v>25150</v>
      </c>
      <c r="P11" s="4">
        <v>103.92561983471074</v>
      </c>
      <c r="Q11" s="5">
        <v>95721</v>
      </c>
      <c r="R11" s="4">
        <v>88.38504155124653</v>
      </c>
    </row>
    <row r="12" spans="1:18" x14ac:dyDescent="0.3">
      <c r="A12" t="s">
        <v>5</v>
      </c>
      <c r="B12" t="s">
        <v>6</v>
      </c>
      <c r="C12" t="s">
        <v>17</v>
      </c>
      <c r="D12" s="1">
        <v>25355</v>
      </c>
      <c r="E12" s="1">
        <v>706</v>
      </c>
      <c r="H12" s="6" t="s">
        <v>12</v>
      </c>
      <c r="I12" s="5">
        <v>24218</v>
      </c>
      <c r="J12" s="4">
        <v>263.23913043478262</v>
      </c>
      <c r="K12" s="5">
        <v>24733</v>
      </c>
      <c r="L12" s="4">
        <v>150.8109756097561</v>
      </c>
      <c r="M12" s="5">
        <v>23965</v>
      </c>
      <c r="N12" s="4">
        <v>31.532894736842106</v>
      </c>
      <c r="O12" s="5">
        <v>27371</v>
      </c>
      <c r="P12" s="4">
        <v>288.11578947368423</v>
      </c>
      <c r="Q12" s="5">
        <v>100287</v>
      </c>
      <c r="R12" s="4">
        <v>90.267326732673268</v>
      </c>
    </row>
    <row r="13" spans="1:18" x14ac:dyDescent="0.3">
      <c r="A13" t="s">
        <v>5</v>
      </c>
      <c r="B13" t="s">
        <v>6</v>
      </c>
      <c r="C13" t="s">
        <v>18</v>
      </c>
      <c r="D13" s="1">
        <v>25899</v>
      </c>
      <c r="E13" s="1">
        <v>180</v>
      </c>
      <c r="H13" s="6" t="s">
        <v>13</v>
      </c>
      <c r="I13" s="5">
        <v>25735</v>
      </c>
      <c r="J13" s="4">
        <v>147.05714285714285</v>
      </c>
      <c r="K13" s="5">
        <v>21184</v>
      </c>
      <c r="L13" s="4">
        <v>311.52941176470586</v>
      </c>
      <c r="M13" s="5">
        <v>23032</v>
      </c>
      <c r="N13" s="4">
        <v>148.59354838709677</v>
      </c>
      <c r="O13" s="5">
        <v>25044</v>
      </c>
      <c r="P13" s="4">
        <v>305.41463414634148</v>
      </c>
      <c r="Q13" s="5">
        <v>94995</v>
      </c>
      <c r="R13" s="4">
        <v>197.90625</v>
      </c>
    </row>
    <row r="14" spans="1:18" x14ac:dyDescent="0.3">
      <c r="A14" t="s">
        <v>19</v>
      </c>
      <c r="B14" t="s">
        <v>6</v>
      </c>
      <c r="C14" t="s">
        <v>7</v>
      </c>
      <c r="D14" s="1">
        <v>20024</v>
      </c>
      <c r="E14" s="1">
        <v>103</v>
      </c>
      <c r="H14" s="6" t="s">
        <v>14</v>
      </c>
      <c r="I14" s="5">
        <v>23638</v>
      </c>
      <c r="J14" s="4">
        <v>271.70114942528738</v>
      </c>
      <c r="K14" s="5">
        <v>23174</v>
      </c>
      <c r="L14" s="4">
        <v>203.28070175438597</v>
      </c>
      <c r="M14" s="5">
        <v>21273</v>
      </c>
      <c r="N14" s="4">
        <v>27.663198959687907</v>
      </c>
      <c r="O14" s="5">
        <v>29506</v>
      </c>
      <c r="P14" s="4">
        <v>286.46601941747571</v>
      </c>
      <c r="Q14" s="5">
        <v>97591</v>
      </c>
      <c r="R14" s="4">
        <v>90.951537744641186</v>
      </c>
    </row>
    <row r="15" spans="1:18" x14ac:dyDescent="0.3">
      <c r="A15" t="s">
        <v>19</v>
      </c>
      <c r="B15" t="s">
        <v>6</v>
      </c>
      <c r="C15" t="s">
        <v>8</v>
      </c>
      <c r="D15" s="1">
        <v>23822</v>
      </c>
      <c r="E15" s="1">
        <v>267</v>
      </c>
      <c r="H15" s="6" t="s">
        <v>15</v>
      </c>
      <c r="I15" s="5">
        <v>25749</v>
      </c>
      <c r="J15" s="4">
        <v>46.228007181328543</v>
      </c>
      <c r="K15" s="5">
        <v>25999</v>
      </c>
      <c r="L15" s="4">
        <v>309.51190476190476</v>
      </c>
      <c r="M15" s="5">
        <v>21584</v>
      </c>
      <c r="N15" s="4">
        <v>189.33333333333334</v>
      </c>
      <c r="O15" s="5">
        <v>29061</v>
      </c>
      <c r="P15" s="4">
        <v>199.04794520547946</v>
      </c>
      <c r="Q15" s="5">
        <v>102393</v>
      </c>
      <c r="R15" s="4">
        <v>113.64372918978913</v>
      </c>
    </row>
    <row r="16" spans="1:18" x14ac:dyDescent="0.3">
      <c r="A16" t="s">
        <v>19</v>
      </c>
      <c r="B16" t="s">
        <v>6</v>
      </c>
      <c r="C16" t="s">
        <v>9</v>
      </c>
      <c r="D16" s="1">
        <v>24854</v>
      </c>
      <c r="E16" s="1">
        <v>96</v>
      </c>
      <c r="H16" s="6" t="s">
        <v>16</v>
      </c>
      <c r="I16" s="5">
        <v>24437</v>
      </c>
      <c r="J16" s="4">
        <v>257.2315789473684</v>
      </c>
      <c r="K16" s="5">
        <v>22639</v>
      </c>
      <c r="L16" s="4">
        <v>87.073076923076925</v>
      </c>
      <c r="M16" s="5">
        <v>19625</v>
      </c>
      <c r="N16" s="4">
        <v>236.44578313253012</v>
      </c>
      <c r="O16" s="5">
        <v>27113</v>
      </c>
      <c r="P16" s="4">
        <v>225.94166666666666</v>
      </c>
      <c r="Q16" s="5">
        <v>93814</v>
      </c>
      <c r="R16" s="4">
        <v>168.12544802867384</v>
      </c>
    </row>
    <row r="17" spans="1:18" x14ac:dyDescent="0.3">
      <c r="A17" t="s">
        <v>19</v>
      </c>
      <c r="B17" t="s">
        <v>6</v>
      </c>
      <c r="C17" t="s">
        <v>10</v>
      </c>
      <c r="D17" s="1">
        <v>22838</v>
      </c>
      <c r="E17" s="1">
        <v>74</v>
      </c>
      <c r="H17" s="6" t="s">
        <v>17</v>
      </c>
      <c r="I17" s="5">
        <v>25355</v>
      </c>
      <c r="J17" s="4">
        <v>35.91359773371105</v>
      </c>
      <c r="K17" s="5">
        <v>23949</v>
      </c>
      <c r="L17" s="4">
        <v>219.71559633027522</v>
      </c>
      <c r="M17" s="5">
        <v>19832</v>
      </c>
      <c r="N17" s="4">
        <v>283.31428571428569</v>
      </c>
      <c r="O17" s="5">
        <v>25953</v>
      </c>
      <c r="P17" s="4">
        <v>320.40740740740739</v>
      </c>
      <c r="Q17" s="5">
        <v>95089</v>
      </c>
      <c r="R17" s="4">
        <v>98.435817805383024</v>
      </c>
    </row>
    <row r="18" spans="1:18" x14ac:dyDescent="0.3">
      <c r="A18" t="s">
        <v>19</v>
      </c>
      <c r="B18" t="s">
        <v>6</v>
      </c>
      <c r="C18" t="s">
        <v>11</v>
      </c>
      <c r="D18" s="1">
        <v>25320</v>
      </c>
      <c r="E18" s="1">
        <v>231</v>
      </c>
      <c r="H18" s="6" t="s">
        <v>18</v>
      </c>
      <c r="I18" s="5">
        <v>25899</v>
      </c>
      <c r="J18" s="4">
        <v>143.88333333333333</v>
      </c>
      <c r="K18" s="5">
        <v>23179</v>
      </c>
      <c r="L18" s="4">
        <v>49.847311827956986</v>
      </c>
      <c r="M18" s="5">
        <v>20583</v>
      </c>
      <c r="N18" s="4">
        <v>115.63483146067416</v>
      </c>
      <c r="O18" s="5">
        <v>28670</v>
      </c>
      <c r="P18" s="4">
        <v>144.79797979797979</v>
      </c>
      <c r="Q18" s="5">
        <v>98331</v>
      </c>
      <c r="R18" s="4">
        <v>96.308521057786479</v>
      </c>
    </row>
    <row r="19" spans="1:18" x14ac:dyDescent="0.3">
      <c r="A19" t="s">
        <v>19</v>
      </c>
      <c r="B19" t="s">
        <v>6</v>
      </c>
      <c r="C19" t="s">
        <v>12</v>
      </c>
      <c r="D19" s="1">
        <v>24733</v>
      </c>
      <c r="E19" s="1">
        <v>164</v>
      </c>
      <c r="H19" s="3" t="s">
        <v>32</v>
      </c>
      <c r="I19" s="5">
        <v>41385.300000000003</v>
      </c>
      <c r="J19" s="4">
        <v>106.61917765869742</v>
      </c>
      <c r="K19" s="5">
        <v>39420.300000000003</v>
      </c>
      <c r="L19" s="4">
        <v>128.43835527173206</v>
      </c>
      <c r="M19" s="5">
        <v>35709.22</v>
      </c>
      <c r="N19" s="4">
        <v>89.006031904287141</v>
      </c>
      <c r="O19" s="5">
        <v>46001.62</v>
      </c>
      <c r="P19" s="4">
        <v>155.23257069582235</v>
      </c>
      <c r="Q19" s="5">
        <v>162516.44</v>
      </c>
      <c r="R19" s="4">
        <v>116.69833838376586</v>
      </c>
    </row>
    <row r="20" spans="1:18" x14ac:dyDescent="0.3">
      <c r="A20" t="s">
        <v>19</v>
      </c>
      <c r="B20" t="s">
        <v>6</v>
      </c>
      <c r="C20" t="s">
        <v>13</v>
      </c>
      <c r="D20" s="1">
        <v>21184</v>
      </c>
      <c r="E20" s="1">
        <v>68</v>
      </c>
      <c r="H20" s="6" t="s">
        <v>28</v>
      </c>
      <c r="I20" s="5">
        <v>7181.7000000000007</v>
      </c>
      <c r="J20" s="4">
        <v>184.61953727506426</v>
      </c>
      <c r="K20" s="5">
        <v>6870</v>
      </c>
      <c r="L20" s="4">
        <v>147.42489270386267</v>
      </c>
      <c r="M20" s="5">
        <v>6520.4000000000005</v>
      </c>
      <c r="N20" s="4">
        <v>200.01226993865032</v>
      </c>
      <c r="O20" s="5">
        <v>8125.8</v>
      </c>
      <c r="P20" s="4">
        <v>78.891262135922332</v>
      </c>
      <c r="Q20" s="5">
        <v>28697.9</v>
      </c>
      <c r="R20" s="4">
        <v>129.79601990049753</v>
      </c>
    </row>
    <row r="21" spans="1:18" x14ac:dyDescent="0.3">
      <c r="A21" t="s">
        <v>19</v>
      </c>
      <c r="B21" t="s">
        <v>6</v>
      </c>
      <c r="C21" t="s">
        <v>14</v>
      </c>
      <c r="D21" s="1">
        <v>23174</v>
      </c>
      <c r="E21" s="1">
        <v>114</v>
      </c>
      <c r="H21" s="6" t="s">
        <v>29</v>
      </c>
      <c r="I21" s="5">
        <v>8548.32</v>
      </c>
      <c r="J21" s="4">
        <v>222.61250000000001</v>
      </c>
      <c r="K21" s="5">
        <v>8746.92</v>
      </c>
      <c r="L21" s="4">
        <v>155.41791044776119</v>
      </c>
      <c r="M21" s="5">
        <v>7956.36</v>
      </c>
      <c r="N21" s="4">
        <v>50.65164247517189</v>
      </c>
      <c r="O21" s="5">
        <v>9823.08</v>
      </c>
      <c r="P21" s="4">
        <v>146.1767857142857</v>
      </c>
      <c r="Q21" s="5">
        <v>35074.68</v>
      </c>
      <c r="R21" s="4">
        <v>109.96576373212943</v>
      </c>
    </row>
    <row r="22" spans="1:18" x14ac:dyDescent="0.3">
      <c r="A22" t="s">
        <v>19</v>
      </c>
      <c r="B22" t="s">
        <v>6</v>
      </c>
      <c r="C22" t="s">
        <v>15</v>
      </c>
      <c r="D22" s="1">
        <v>25999</v>
      </c>
      <c r="E22" s="1">
        <v>84</v>
      </c>
      <c r="H22" s="6" t="s">
        <v>30</v>
      </c>
      <c r="I22" s="5">
        <v>10517.080000000002</v>
      </c>
      <c r="J22" s="4">
        <v>91.724053724053732</v>
      </c>
      <c r="K22" s="5">
        <v>9849.9800000000014</v>
      </c>
      <c r="L22" s="4">
        <v>264.5</v>
      </c>
      <c r="M22" s="5">
        <v>9224.4600000000009</v>
      </c>
      <c r="N22" s="4">
        <v>63.47687861271676</v>
      </c>
      <c r="O22" s="5">
        <v>11705.54</v>
      </c>
      <c r="P22" s="4">
        <v>252.60120845921449</v>
      </c>
      <c r="Q22" s="5">
        <v>41297.060000000005</v>
      </c>
      <c r="R22" s="4">
        <v>120.20334148329258</v>
      </c>
    </row>
    <row r="23" spans="1:18" x14ac:dyDescent="0.3">
      <c r="A23" t="s">
        <v>19</v>
      </c>
      <c r="B23" t="s">
        <v>6</v>
      </c>
      <c r="C23" t="s">
        <v>16</v>
      </c>
      <c r="D23" s="1">
        <v>22639</v>
      </c>
      <c r="E23" s="1">
        <v>260</v>
      </c>
      <c r="H23" s="6" t="s">
        <v>31</v>
      </c>
      <c r="I23" s="5">
        <v>15138.2</v>
      </c>
      <c r="J23" s="4">
        <v>77.156982670744142</v>
      </c>
      <c r="K23" s="5">
        <v>13953.400000000001</v>
      </c>
      <c r="L23" s="4">
        <v>83.653477218225419</v>
      </c>
      <c r="M23" s="5">
        <v>12008</v>
      </c>
      <c r="N23" s="4">
        <v>181.38972809667672</v>
      </c>
      <c r="O23" s="5">
        <v>16347.2</v>
      </c>
      <c r="P23" s="4">
        <v>204.85213032581453</v>
      </c>
      <c r="Q23" s="5">
        <v>57446.8</v>
      </c>
      <c r="R23" s="4">
        <v>112.86208251473478</v>
      </c>
    </row>
    <row r="24" spans="1:18" x14ac:dyDescent="0.3">
      <c r="A24" t="s">
        <v>19</v>
      </c>
      <c r="B24" t="s">
        <v>6</v>
      </c>
      <c r="C24" t="s">
        <v>17</v>
      </c>
      <c r="D24" s="1">
        <v>23949</v>
      </c>
      <c r="E24" s="1">
        <v>109</v>
      </c>
      <c r="H24" s="3" t="s">
        <v>23</v>
      </c>
      <c r="I24" s="5">
        <v>335251.30000000005</v>
      </c>
      <c r="J24" s="4">
        <v>115.71721962197465</v>
      </c>
      <c r="K24" s="5">
        <v>321135.3</v>
      </c>
      <c r="L24" s="4">
        <v>137.12479503996721</v>
      </c>
      <c r="M24" s="5">
        <v>293145.22000000003</v>
      </c>
      <c r="N24" s="4">
        <v>86.087519088452964</v>
      </c>
      <c r="O24" s="5">
        <v>374465.62</v>
      </c>
      <c r="P24" s="4">
        <v>143.12574818257565</v>
      </c>
      <c r="Q24" s="5">
        <v>1323997.44</v>
      </c>
      <c r="R24" s="4">
        <v>117.57766801472744</v>
      </c>
    </row>
    <row r="25" spans="1:18" x14ac:dyDescent="0.3">
      <c r="A25" t="s">
        <v>19</v>
      </c>
      <c r="B25" t="s">
        <v>6</v>
      </c>
      <c r="C25" t="s">
        <v>18</v>
      </c>
      <c r="D25" s="1">
        <v>23179</v>
      </c>
      <c r="E25" s="1">
        <v>465</v>
      </c>
    </row>
    <row r="26" spans="1:18" x14ac:dyDescent="0.3">
      <c r="A26" t="s">
        <v>20</v>
      </c>
      <c r="B26" t="s">
        <v>21</v>
      </c>
      <c r="C26" t="s">
        <v>7</v>
      </c>
      <c r="D26" s="1">
        <v>19886</v>
      </c>
      <c r="E26" s="1">
        <v>95</v>
      </c>
    </row>
    <row r="27" spans="1:18" x14ac:dyDescent="0.3">
      <c r="A27" t="s">
        <v>20</v>
      </c>
      <c r="B27" t="s">
        <v>21</v>
      </c>
      <c r="C27" t="s">
        <v>8</v>
      </c>
      <c r="D27" s="1">
        <v>23494</v>
      </c>
      <c r="E27" s="1">
        <v>148</v>
      </c>
    </row>
    <row r="28" spans="1:18" x14ac:dyDescent="0.3">
      <c r="A28" t="s">
        <v>20</v>
      </c>
      <c r="B28" t="s">
        <v>21</v>
      </c>
      <c r="C28" t="s">
        <v>9</v>
      </c>
      <c r="D28" s="1">
        <v>21824</v>
      </c>
      <c r="E28" s="1">
        <v>83</v>
      </c>
    </row>
    <row r="29" spans="1:18" x14ac:dyDescent="0.3">
      <c r="A29" t="s">
        <v>20</v>
      </c>
      <c r="B29" t="s">
        <v>21</v>
      </c>
      <c r="C29" t="s">
        <v>10</v>
      </c>
      <c r="D29" s="1">
        <v>22058</v>
      </c>
      <c r="E29" s="1">
        <v>96</v>
      </c>
    </row>
    <row r="30" spans="1:18" x14ac:dyDescent="0.3">
      <c r="A30" t="s">
        <v>20</v>
      </c>
      <c r="B30" t="s">
        <v>21</v>
      </c>
      <c r="C30" t="s">
        <v>11</v>
      </c>
      <c r="D30" s="1">
        <v>20280</v>
      </c>
      <c r="E30" s="1">
        <v>453</v>
      </c>
    </row>
    <row r="31" spans="1:18" x14ac:dyDescent="0.3">
      <c r="A31" t="s">
        <v>20</v>
      </c>
      <c r="B31" t="s">
        <v>21</v>
      </c>
      <c r="C31" t="s">
        <v>12</v>
      </c>
      <c r="D31" s="1">
        <v>23965</v>
      </c>
      <c r="E31" s="1">
        <v>760</v>
      </c>
    </row>
    <row r="32" spans="1:18" x14ac:dyDescent="0.3">
      <c r="A32" t="s">
        <v>20</v>
      </c>
      <c r="B32" t="s">
        <v>21</v>
      </c>
      <c r="C32" t="s">
        <v>13</v>
      </c>
      <c r="D32" s="1">
        <v>23032</v>
      </c>
      <c r="E32" s="1">
        <v>155</v>
      </c>
    </row>
    <row r="33" spans="1:5" x14ac:dyDescent="0.3">
      <c r="A33" t="s">
        <v>20</v>
      </c>
      <c r="B33" t="s">
        <v>21</v>
      </c>
      <c r="C33" t="s">
        <v>14</v>
      </c>
      <c r="D33" s="1">
        <v>21273</v>
      </c>
      <c r="E33" s="1">
        <v>769</v>
      </c>
    </row>
    <row r="34" spans="1:5" x14ac:dyDescent="0.3">
      <c r="A34" t="s">
        <v>20</v>
      </c>
      <c r="B34" t="s">
        <v>21</v>
      </c>
      <c r="C34" t="s">
        <v>15</v>
      </c>
      <c r="D34" s="1">
        <v>21584</v>
      </c>
      <c r="E34" s="1">
        <v>114</v>
      </c>
    </row>
    <row r="35" spans="1:5" x14ac:dyDescent="0.3">
      <c r="A35" t="s">
        <v>20</v>
      </c>
      <c r="B35" t="s">
        <v>21</v>
      </c>
      <c r="C35" t="s">
        <v>16</v>
      </c>
      <c r="D35" s="1">
        <v>19625</v>
      </c>
      <c r="E35" s="1">
        <v>83</v>
      </c>
    </row>
    <row r="36" spans="1:5" x14ac:dyDescent="0.3">
      <c r="A36" t="s">
        <v>20</v>
      </c>
      <c r="B36" t="s">
        <v>21</v>
      </c>
      <c r="C36" t="s">
        <v>17</v>
      </c>
      <c r="D36" s="1">
        <v>19832</v>
      </c>
      <c r="E36" s="1">
        <v>70</v>
      </c>
    </row>
    <row r="37" spans="1:5" x14ac:dyDescent="0.3">
      <c r="A37" t="s">
        <v>20</v>
      </c>
      <c r="B37" t="s">
        <v>21</v>
      </c>
      <c r="C37" t="s">
        <v>18</v>
      </c>
      <c r="D37" s="1">
        <v>20583</v>
      </c>
      <c r="E37" s="1">
        <v>178</v>
      </c>
    </row>
    <row r="38" spans="1:5" x14ac:dyDescent="0.3">
      <c r="A38" t="s">
        <v>22</v>
      </c>
      <c r="B38" t="s">
        <v>21</v>
      </c>
      <c r="C38" t="s">
        <v>7</v>
      </c>
      <c r="D38" s="1">
        <v>26264</v>
      </c>
      <c r="E38" s="1">
        <v>92</v>
      </c>
    </row>
    <row r="39" spans="1:5" x14ac:dyDescent="0.3">
      <c r="A39" t="s">
        <v>22</v>
      </c>
      <c r="B39" t="s">
        <v>21</v>
      </c>
      <c r="C39" t="s">
        <v>8</v>
      </c>
      <c r="D39" s="1">
        <v>29953</v>
      </c>
      <c r="E39" s="1">
        <v>852</v>
      </c>
    </row>
    <row r="40" spans="1:5" x14ac:dyDescent="0.3">
      <c r="A40" t="s">
        <v>22</v>
      </c>
      <c r="B40" t="s">
        <v>21</v>
      </c>
      <c r="C40" t="s">
        <v>9</v>
      </c>
      <c r="D40" s="1">
        <v>25041</v>
      </c>
      <c r="E40" s="1">
        <v>86</v>
      </c>
    </row>
    <row r="41" spans="1:5" x14ac:dyDescent="0.3">
      <c r="A41" t="s">
        <v>22</v>
      </c>
      <c r="B41" t="s">
        <v>21</v>
      </c>
      <c r="C41" t="s">
        <v>10</v>
      </c>
      <c r="D41" s="1">
        <v>29338</v>
      </c>
      <c r="E41" s="1">
        <v>223</v>
      </c>
    </row>
    <row r="42" spans="1:5" x14ac:dyDescent="0.3">
      <c r="A42" t="s">
        <v>22</v>
      </c>
      <c r="B42" t="s">
        <v>21</v>
      </c>
      <c r="C42" t="s">
        <v>11</v>
      </c>
      <c r="D42" s="1">
        <v>25150</v>
      </c>
      <c r="E42" s="1">
        <v>242</v>
      </c>
    </row>
    <row r="43" spans="1:5" x14ac:dyDescent="0.3">
      <c r="A43" t="s">
        <v>22</v>
      </c>
      <c r="B43" t="s">
        <v>21</v>
      </c>
      <c r="C43" t="s">
        <v>12</v>
      </c>
      <c r="D43" s="1">
        <v>27371</v>
      </c>
      <c r="E43" s="1">
        <v>95</v>
      </c>
    </row>
    <row r="44" spans="1:5" x14ac:dyDescent="0.3">
      <c r="A44" t="s">
        <v>22</v>
      </c>
      <c r="B44" t="s">
        <v>21</v>
      </c>
      <c r="C44" t="s">
        <v>13</v>
      </c>
      <c r="D44" s="1">
        <v>25044</v>
      </c>
      <c r="E44" s="1">
        <v>82</v>
      </c>
    </row>
    <row r="45" spans="1:5" x14ac:dyDescent="0.3">
      <c r="A45" t="s">
        <v>22</v>
      </c>
      <c r="B45" t="s">
        <v>21</v>
      </c>
      <c r="C45" t="s">
        <v>14</v>
      </c>
      <c r="D45" s="1">
        <v>29506</v>
      </c>
      <c r="E45" s="1">
        <v>103</v>
      </c>
    </row>
    <row r="46" spans="1:5" x14ac:dyDescent="0.3">
      <c r="A46" t="s">
        <v>22</v>
      </c>
      <c r="B46" t="s">
        <v>21</v>
      </c>
      <c r="C46" t="s">
        <v>15</v>
      </c>
      <c r="D46" s="1">
        <v>29061</v>
      </c>
      <c r="E46" s="1">
        <v>146</v>
      </c>
    </row>
    <row r="47" spans="1:5" x14ac:dyDescent="0.3">
      <c r="A47" t="s">
        <v>22</v>
      </c>
      <c r="B47" t="s">
        <v>21</v>
      </c>
      <c r="C47" t="s">
        <v>16</v>
      </c>
      <c r="D47" s="1">
        <v>27113</v>
      </c>
      <c r="E47" s="1">
        <v>120</v>
      </c>
    </row>
    <row r="48" spans="1:5" x14ac:dyDescent="0.3">
      <c r="A48" t="s">
        <v>22</v>
      </c>
      <c r="B48" t="s">
        <v>21</v>
      </c>
      <c r="C48" t="s">
        <v>17</v>
      </c>
      <c r="D48" s="1">
        <v>25953</v>
      </c>
      <c r="E48" s="1">
        <v>81</v>
      </c>
    </row>
    <row r="49" spans="1:5" x14ac:dyDescent="0.3">
      <c r="A49" t="s">
        <v>22</v>
      </c>
      <c r="B49" t="s">
        <v>21</v>
      </c>
      <c r="C49" t="s">
        <v>18</v>
      </c>
      <c r="D49" s="1">
        <v>28670</v>
      </c>
      <c r="E49" s="1">
        <v>198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2026-04-07T02:30:21Z</dcterms:created>
  <dcterms:modified xsi:type="dcterms:W3CDTF">2026-04-07T03:13:39Z</dcterms:modified>
</cp:coreProperties>
</file>