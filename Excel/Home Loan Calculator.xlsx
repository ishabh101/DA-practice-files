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8b058a3b9b2a2950/Excel/"/>
    </mc:Choice>
  </mc:AlternateContent>
  <xr:revisionPtr revIDLastSave="137" documentId="11_D166C06411A2EA9C92291804CA0B32CA377E8C68" xr6:coauthVersionLast="47" xr6:coauthVersionMax="47" xr10:uidLastSave="{6158B021-8C3F-4279-A743-7226D48B2A8A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6" i="1" l="1"/>
  <c r="N6" i="1"/>
  <c r="N7" i="1" s="1"/>
  <c r="N8" i="1" s="1"/>
  <c r="N9" i="1" s="1"/>
  <c r="N10" i="1" s="1"/>
  <c r="N11" i="1" s="1"/>
  <c r="N12" i="1" s="1"/>
  <c r="N13" i="1" s="1"/>
  <c r="N14" i="1" s="1"/>
  <c r="C10" i="1"/>
  <c r="C11" i="1" s="1"/>
  <c r="C12" i="1" s="1"/>
  <c r="C13" i="1" s="1"/>
  <c r="R4" i="1" s="1"/>
  <c r="U7" i="1" l="1"/>
  <c r="U8" i="1" s="1"/>
  <c r="U9" i="1" s="1"/>
  <c r="U10" i="1" s="1"/>
  <c r="U11" i="1" s="1"/>
  <c r="U12" i="1" s="1"/>
  <c r="U13" i="1" s="1"/>
  <c r="U14" i="1" s="1"/>
  <c r="V4" i="1"/>
  <c r="W4" i="1"/>
  <c r="X4" i="1"/>
  <c r="Y4" i="1"/>
  <c r="O4" i="1"/>
  <c r="P4" i="1"/>
  <c r="Q4" i="1"/>
</calcChain>
</file>

<file path=xl/sharedStrings.xml><?xml version="1.0" encoding="utf-8"?>
<sst xmlns="http://schemas.openxmlformats.org/spreadsheetml/2006/main" count="21" uniqueCount="20">
  <si>
    <t>Input Cells</t>
  </si>
  <si>
    <t>Purchase Price:</t>
  </si>
  <si>
    <t>Down Payment:</t>
  </si>
  <si>
    <t>Loan Term (Months):</t>
  </si>
  <si>
    <t>Interest Rate (APR):</t>
  </si>
  <si>
    <t>Result Cells</t>
  </si>
  <si>
    <t>Loan Amount:</t>
  </si>
  <si>
    <t>Monthly Payment:</t>
  </si>
  <si>
    <t>Total Payments:</t>
  </si>
  <si>
    <t>Total Interest:</t>
  </si>
  <si>
    <t>Home Loan Worksheet</t>
  </si>
  <si>
    <t>Interest Rate</t>
  </si>
  <si>
    <t>Loan Amt</t>
  </si>
  <si>
    <t>Total Interest</t>
  </si>
  <si>
    <t>Total Payment</t>
  </si>
  <si>
    <t>Monthly Payment</t>
  </si>
  <si>
    <t>Mon PMT</t>
  </si>
  <si>
    <t>total pmt</t>
  </si>
  <si>
    <t>total interest</t>
  </si>
  <si>
    <t>Down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</si>
</sst>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44" formatCode="_(&quot;$&quot;* #,##0.00_);_(&quot;$&quot;* \(#,##0.00\);_(&quot;$&quot;* &quot;-&quot;??_);_(@_)"/>
    <numFmt numFmtId="164" formatCode="0.0%"/>
  </numFmts>
  <fonts count="6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8">
    <xf numFmtId="0" fontId="0" fillId="0" borderId="0" xfId="0"/>
    <xf numFmtId="0" fontId="0" fillId="3" borderId="0" xfId="0" applyFill="1"/>
    <xf numFmtId="0" fontId="0" fillId="0" borderId="1" xfId="0" applyBorder="1"/>
    <xf numFmtId="6" fontId="0" fillId="0" borderId="1" xfId="0" applyNumberFormat="1" applyBorder="1"/>
    <xf numFmtId="9" fontId="0" fillId="0" borderId="1" xfId="0" applyNumberFormat="1" applyBorder="1"/>
    <xf numFmtId="10" fontId="0" fillId="0" borderId="1" xfId="0" applyNumberFormat="1" applyBorder="1"/>
    <xf numFmtId="0" fontId="0" fillId="3" borderId="1" xfId="0" applyFill="1" applyBorder="1"/>
    <xf numFmtId="9" fontId="0" fillId="4" borderId="0" xfId="0" applyNumberFormat="1" applyFill="1"/>
    <xf numFmtId="10" fontId="0" fillId="4" borderId="0" xfId="0" applyNumberFormat="1" applyFill="1"/>
    <xf numFmtId="6" fontId="0" fillId="5" borderId="0" xfId="0" applyNumberFormat="1" applyFill="1"/>
    <xf numFmtId="0" fontId="4" fillId="3" borderId="0" xfId="0" applyFont="1" applyFill="1"/>
    <xf numFmtId="44" fontId="0" fillId="3" borderId="0" xfId="1" applyFont="1" applyFill="1"/>
    <xf numFmtId="164" fontId="0" fillId="4" borderId="0" xfId="0" applyNumberFormat="1" applyFill="1"/>
    <xf numFmtId="6" fontId="0" fillId="6" borderId="0" xfId="0" applyNumberFormat="1" applyFill="1"/>
    <xf numFmtId="0" fontId="1" fillId="3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5" fillId="3" borderId="0" xfId="0" applyFont="1" applyFill="1" applyAlignment="1">
      <alignment horizontal="center" vertical="center" textRotation="90"/>
    </xf>
    <xf numFmtId="0" fontId="4" fillId="3" borderId="0" xfId="0" applyFont="1" applyFill="1" applyAlignment="1">
      <alignment horizontal="center" vertical="center" textRotation="90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Z14"/>
  <sheetViews>
    <sheetView tabSelected="1" workbookViewId="0">
      <selection activeCell="E3" sqref="E3"/>
    </sheetView>
  </sheetViews>
  <sheetFormatPr defaultRowHeight="14.4" x14ac:dyDescent="0.3"/>
  <cols>
    <col min="1" max="1" width="8.88671875" style="1"/>
    <col min="2" max="2" width="22.33203125" style="1" customWidth="1"/>
    <col min="3" max="3" width="16.5546875" style="1" customWidth="1"/>
    <col min="4" max="14" width="8.88671875" style="1"/>
    <col min="15" max="15" width="14.109375" style="1" customWidth="1"/>
    <col min="16" max="16" width="15.5546875" style="1" bestFit="1" customWidth="1"/>
    <col min="17" max="17" width="12.88671875" style="1" bestFit="1" customWidth="1"/>
    <col min="18" max="18" width="12.5546875" style="1" bestFit="1" customWidth="1"/>
    <col min="19" max="21" width="8.88671875" style="1"/>
    <col min="22" max="22" width="9.77734375" style="1" bestFit="1" customWidth="1"/>
    <col min="23" max="25" width="12.6640625" style="1" bestFit="1" customWidth="1"/>
    <col min="26" max="16384" width="8.88671875" style="1"/>
  </cols>
  <sheetData>
    <row r="1" spans="2:26" ht="21" x14ac:dyDescent="0.4">
      <c r="B1" s="14" t="s">
        <v>10</v>
      </c>
      <c r="C1" s="14"/>
    </row>
    <row r="3" spans="2:26" x14ac:dyDescent="0.3">
      <c r="B3" s="15" t="s">
        <v>0</v>
      </c>
      <c r="C3" s="15"/>
      <c r="O3" s="10" t="s">
        <v>12</v>
      </c>
      <c r="P3" s="10" t="s">
        <v>15</v>
      </c>
      <c r="Q3" s="10" t="s">
        <v>14</v>
      </c>
      <c r="R3" s="10" t="s">
        <v>13</v>
      </c>
      <c r="V3" s="10" t="s">
        <v>12</v>
      </c>
      <c r="W3" s="10" t="s">
        <v>16</v>
      </c>
      <c r="X3" s="10" t="s">
        <v>17</v>
      </c>
      <c r="Y3" s="10" t="s">
        <v>18</v>
      </c>
      <c r="Z3" s="10"/>
    </row>
    <row r="4" spans="2:26" x14ac:dyDescent="0.3">
      <c r="B4" s="2" t="s">
        <v>1</v>
      </c>
      <c r="C4" s="3">
        <v>174475.96460366144</v>
      </c>
      <c r="O4" s="9">
        <f>C10</f>
        <v>139580.77168292916</v>
      </c>
      <c r="P4" s="9">
        <f>C11</f>
        <v>999.99999999999989</v>
      </c>
      <c r="Q4" s="9">
        <f>C12</f>
        <v>239999.99999999997</v>
      </c>
      <c r="R4" s="9">
        <f>C13</f>
        <v>100419.22831707081</v>
      </c>
      <c r="V4" s="13">
        <f>C10</f>
        <v>139580.77168292916</v>
      </c>
      <c r="W4" s="13">
        <f>C11</f>
        <v>999.99999999999989</v>
      </c>
      <c r="X4" s="13">
        <f>C12</f>
        <v>239999.99999999997</v>
      </c>
      <c r="Y4" s="13">
        <f>C13</f>
        <v>100419.22831707081</v>
      </c>
    </row>
    <row r="5" spans="2:26" x14ac:dyDescent="0.3">
      <c r="B5" s="2" t="s">
        <v>2</v>
      </c>
      <c r="C5" s="4">
        <v>0.2</v>
      </c>
      <c r="M5" s="16" t="s">
        <v>11</v>
      </c>
      <c r="N5" s="7">
        <v>0.06</v>
      </c>
      <c r="O5" s="11">
        <f t="dataTable" ref="O5:R14" dt2D="0" dtr="0" r1="C7" ca="1"/>
        <v>139580.77168292916</v>
      </c>
      <c r="P5" s="11">
        <v>999.99999999999989</v>
      </c>
      <c r="Q5" s="11">
        <v>239999.99999999997</v>
      </c>
      <c r="R5" s="11">
        <v>100419.22831707081</v>
      </c>
      <c r="T5" s="17" t="s">
        <v>19</v>
      </c>
      <c r="U5" s="7">
        <v>0.1</v>
      </c>
      <c r="V5" s="1">
        <f t="dataTable" ref="V5:Y14" dt2D="0" dtr="0" r1="C5"/>
        <v>157028.36814329529</v>
      </c>
      <c r="W5" s="1">
        <v>1124.9999999999998</v>
      </c>
      <c r="X5" s="1">
        <v>269999.99999999994</v>
      </c>
      <c r="Y5" s="1">
        <v>112971.63185670465</v>
      </c>
    </row>
    <row r="6" spans="2:26" x14ac:dyDescent="0.3">
      <c r="B6" s="2" t="s">
        <v>3</v>
      </c>
      <c r="C6" s="2">
        <v>240</v>
      </c>
      <c r="M6" s="16"/>
      <c r="N6" s="8">
        <f>N5+0.25%</f>
        <v>6.25E-2</v>
      </c>
      <c r="O6" s="11">
        <v>139580.77168292916</v>
      </c>
      <c r="P6" s="11">
        <v>1020.2352253267727</v>
      </c>
      <c r="Q6" s="11">
        <v>244856.45407842545</v>
      </c>
      <c r="R6" s="11">
        <v>105275.68239549629</v>
      </c>
      <c r="T6" s="17"/>
      <c r="U6" s="12">
        <f>U5+5%</f>
        <v>0.15000000000000002</v>
      </c>
      <c r="V6" s="1">
        <v>148304.56991311221</v>
      </c>
      <c r="W6" s="1">
        <v>1062.4999999999998</v>
      </c>
      <c r="X6" s="1">
        <v>254999.99999999994</v>
      </c>
      <c r="Y6" s="1">
        <v>106695.43008688773</v>
      </c>
    </row>
    <row r="7" spans="2:26" x14ac:dyDescent="0.3">
      <c r="B7" s="2" t="s">
        <v>4</v>
      </c>
      <c r="C7" s="5">
        <v>0.06</v>
      </c>
      <c r="M7" s="16"/>
      <c r="N7" s="8">
        <f t="shared" ref="N7:N14" si="0">N6+0.25%</f>
        <v>6.5000000000000002E-2</v>
      </c>
      <c r="O7" s="11">
        <v>139580.77168292916</v>
      </c>
      <c r="P7" s="11">
        <v>1040.6767360125837</v>
      </c>
      <c r="Q7" s="11">
        <v>249762.41664302009</v>
      </c>
      <c r="R7" s="11">
        <v>110181.64496009093</v>
      </c>
      <c r="T7" s="17"/>
      <c r="U7" s="12">
        <f t="shared" ref="U7:U14" si="1">U6+10%</f>
        <v>0.25</v>
      </c>
      <c r="V7" s="1">
        <v>130856.97345274608</v>
      </c>
      <c r="W7" s="1">
        <v>937.49999999999989</v>
      </c>
      <c r="X7" s="1">
        <v>224999.99999999997</v>
      </c>
      <c r="Y7" s="1">
        <v>94143.026547253889</v>
      </c>
    </row>
    <row r="8" spans="2:26" x14ac:dyDescent="0.3">
      <c r="B8" s="6"/>
      <c r="C8" s="6"/>
      <c r="M8" s="16"/>
      <c r="N8" s="8">
        <f t="shared" si="0"/>
        <v>6.7500000000000004E-2</v>
      </c>
      <c r="O8" s="11">
        <v>139580.77168292916</v>
      </c>
      <c r="P8" s="11">
        <v>1061.3219524265357</v>
      </c>
      <c r="Q8" s="11">
        <v>254717.26858236859</v>
      </c>
      <c r="R8" s="11">
        <v>115136.49689943943</v>
      </c>
      <c r="T8" s="17"/>
      <c r="U8" s="12">
        <f t="shared" si="1"/>
        <v>0.35</v>
      </c>
      <c r="V8" s="1">
        <v>113409.37699237994</v>
      </c>
      <c r="W8" s="1">
        <v>812.49999999999989</v>
      </c>
      <c r="X8" s="1">
        <v>194999.99999999997</v>
      </c>
      <c r="Y8" s="1">
        <v>81590.62300762003</v>
      </c>
    </row>
    <row r="9" spans="2:26" x14ac:dyDescent="0.3">
      <c r="B9" s="15" t="s">
        <v>5</v>
      </c>
      <c r="C9" s="15"/>
      <c r="M9" s="16"/>
      <c r="N9" s="8">
        <f t="shared" si="0"/>
        <v>7.0000000000000007E-2</v>
      </c>
      <c r="O9" s="11">
        <v>139580.77168292916</v>
      </c>
      <c r="P9" s="11">
        <v>1082.1682371863615</v>
      </c>
      <c r="Q9" s="11">
        <v>259720.37692472676</v>
      </c>
      <c r="R9" s="11">
        <v>120139.6052417976</v>
      </c>
      <c r="T9" s="17"/>
      <c r="U9" s="12">
        <f t="shared" si="1"/>
        <v>0.44999999999999996</v>
      </c>
      <c r="V9" s="1">
        <v>95961.7805320138</v>
      </c>
      <c r="W9" s="1">
        <v>687.5</v>
      </c>
      <c r="X9" s="1">
        <v>165000</v>
      </c>
      <c r="Y9" s="1">
        <v>69038.2194679862</v>
      </c>
    </row>
    <row r="10" spans="2:26" x14ac:dyDescent="0.3">
      <c r="B10" s="2" t="s">
        <v>6</v>
      </c>
      <c r="C10" s="3">
        <f>C4-(C4*C5)</f>
        <v>139580.77168292916</v>
      </c>
      <c r="M10" s="16"/>
      <c r="N10" s="8">
        <f t="shared" si="0"/>
        <v>7.2500000000000009E-2</v>
      </c>
      <c r="O10" s="11">
        <v>139580.77168292916</v>
      </c>
      <c r="P10" s="11">
        <v>1103.2128989446446</v>
      </c>
      <c r="Q10" s="11">
        <v>264771.09574671474</v>
      </c>
      <c r="R10" s="11">
        <v>125190.32406378558</v>
      </c>
      <c r="T10" s="17"/>
      <c r="U10" s="12">
        <f t="shared" si="1"/>
        <v>0.54999999999999993</v>
      </c>
      <c r="V10" s="1">
        <v>78514.184071647658</v>
      </c>
      <c r="W10" s="1">
        <v>562.5</v>
      </c>
      <c r="X10" s="1">
        <v>135000</v>
      </c>
      <c r="Y10" s="1">
        <v>56485.815928352342</v>
      </c>
    </row>
    <row r="11" spans="2:26" x14ac:dyDescent="0.3">
      <c r="B11" s="2" t="s">
        <v>7</v>
      </c>
      <c r="C11" s="3">
        <f>PMT(C7/12,C6,-C10)</f>
        <v>999.99999999999989</v>
      </c>
      <c r="M11" s="16"/>
      <c r="N11" s="8">
        <f t="shared" si="0"/>
        <v>7.5000000000000011E-2</v>
      </c>
      <c r="O11" s="11">
        <v>139580.77168292916</v>
      </c>
      <c r="P11" s="11">
        <v>1124.4531961847658</v>
      </c>
      <c r="Q11" s="11">
        <v>269868.76708434382</v>
      </c>
      <c r="R11" s="11">
        <v>130287.99540141466</v>
      </c>
      <c r="T11" s="17"/>
      <c r="U11" s="12">
        <f t="shared" si="1"/>
        <v>0.64999999999999991</v>
      </c>
      <c r="V11" s="1">
        <v>61066.587611281517</v>
      </c>
      <c r="W11" s="1">
        <v>437.5</v>
      </c>
      <c r="X11" s="1">
        <v>105000</v>
      </c>
      <c r="Y11" s="1">
        <v>43933.412388718483</v>
      </c>
    </row>
    <row r="12" spans="2:26" x14ac:dyDescent="0.3">
      <c r="B12" s="2" t="s">
        <v>8</v>
      </c>
      <c r="C12" s="3">
        <f>C11*C6</f>
        <v>239999.99999999997</v>
      </c>
      <c r="M12" s="16"/>
      <c r="N12" s="8">
        <f t="shared" si="0"/>
        <v>7.7500000000000013E-2</v>
      </c>
      <c r="O12" s="11">
        <v>139580.77168292916</v>
      </c>
      <c r="P12" s="11">
        <v>1145.8863410171032</v>
      </c>
      <c r="Q12" s="11">
        <v>275012.72184410476</v>
      </c>
      <c r="R12" s="11">
        <v>135431.9501611756</v>
      </c>
      <c r="T12" s="17"/>
      <c r="U12" s="12">
        <f t="shared" si="1"/>
        <v>0.74999999999999989</v>
      </c>
      <c r="V12" s="1">
        <v>43618.991150915375</v>
      </c>
      <c r="W12" s="1">
        <v>312.50000000000006</v>
      </c>
      <c r="X12" s="1">
        <v>75000.000000000015</v>
      </c>
      <c r="Y12" s="1">
        <v>31381.008849084639</v>
      </c>
    </row>
    <row r="13" spans="2:26" x14ac:dyDescent="0.3">
      <c r="B13" s="2" t="s">
        <v>9</v>
      </c>
      <c r="C13" s="3">
        <f>C12-C10</f>
        <v>100419.22831707081</v>
      </c>
      <c r="M13" s="16"/>
      <c r="N13" s="8">
        <f t="shared" si="0"/>
        <v>8.0000000000000016E-2</v>
      </c>
      <c r="O13" s="11">
        <v>139580.77168292916</v>
      </c>
      <c r="P13" s="11">
        <v>1167.5095029663005</v>
      </c>
      <c r="Q13" s="11">
        <v>280202.28071191214</v>
      </c>
      <c r="R13" s="11">
        <v>140621.50902898298</v>
      </c>
      <c r="T13" s="17"/>
      <c r="U13" s="12">
        <f t="shared" si="1"/>
        <v>0.84999999999999987</v>
      </c>
      <c r="V13" s="1">
        <v>26171.394690549234</v>
      </c>
      <c r="W13" s="1">
        <v>187.50000000000011</v>
      </c>
      <c r="X13" s="1">
        <v>45000.000000000029</v>
      </c>
      <c r="Y13" s="1">
        <v>18828.605309450795</v>
      </c>
    </row>
    <row r="14" spans="2:26" x14ac:dyDescent="0.3">
      <c r="M14" s="16"/>
      <c r="N14" s="8">
        <f t="shared" si="0"/>
        <v>8.2500000000000018E-2</v>
      </c>
      <c r="O14" s="11">
        <v>139580.77168292916</v>
      </c>
      <c r="P14" s="11">
        <v>1189.3198127406984</v>
      </c>
      <c r="Q14" s="11">
        <v>285436.75505776762</v>
      </c>
      <c r="R14" s="11">
        <v>145855.98337483846</v>
      </c>
      <c r="T14" s="17"/>
      <c r="U14" s="12">
        <f t="shared" si="1"/>
        <v>0.94999999999999984</v>
      </c>
      <c r="V14" s="1">
        <v>8723.7982301831071</v>
      </c>
      <c r="W14" s="1">
        <v>62.500000000000249</v>
      </c>
      <c r="X14" s="1">
        <v>15000.00000000006</v>
      </c>
      <c r="Y14" s="1">
        <v>6276.2017698169529</v>
      </c>
    </row>
  </sheetData>
  <mergeCells count="5">
    <mergeCell ref="B1:C1"/>
    <mergeCell ref="B3:C3"/>
    <mergeCell ref="B9:C9"/>
    <mergeCell ref="M5:M14"/>
    <mergeCell ref="T5:T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Isha Bhatta</cp:lastModifiedBy>
  <dcterms:created xsi:type="dcterms:W3CDTF">2026-04-09T01:21:50Z</dcterms:created>
  <dcterms:modified xsi:type="dcterms:W3CDTF">2026-04-10T01:33:58Z</dcterms:modified>
</cp:coreProperties>
</file>