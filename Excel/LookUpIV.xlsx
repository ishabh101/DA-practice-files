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Documents/"/>
    </mc:Choice>
  </mc:AlternateContent>
  <xr:revisionPtr revIDLastSave="52" documentId="11_AACE29996341A59C30DBA5A2E12655EB189A29AF" xr6:coauthVersionLast="47" xr6:coauthVersionMax="47" xr10:uidLastSave="{69F91094-A177-40A1-B802-664C56F1095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0" i="1"/>
  <c r="I7" i="1"/>
  <c r="I11" i="1" s="1"/>
</calcChain>
</file>

<file path=xl/sharedStrings.xml><?xml version="1.0" encoding="utf-8"?>
<sst xmlns="http://schemas.openxmlformats.org/spreadsheetml/2006/main" count="142" uniqueCount="79">
  <si>
    <t>Region</t>
  </si>
  <si>
    <t>Department</t>
  </si>
  <si>
    <t>Manager</t>
  </si>
  <si>
    <t>Budget</t>
  </si>
  <si>
    <t>Mid-Atlantic</t>
  </si>
  <si>
    <t>Legal</t>
  </si>
  <si>
    <t>Jose Palmer</t>
  </si>
  <si>
    <t>Canada</t>
  </si>
  <si>
    <t>Audrey Washington</t>
  </si>
  <si>
    <t>North</t>
  </si>
  <si>
    <t>Logistics</t>
  </si>
  <si>
    <t>Samantha Allen</t>
  </si>
  <si>
    <t>Customer Service</t>
  </si>
  <si>
    <t>Katherine Nichols</t>
  </si>
  <si>
    <t>Pacific Northwest</t>
  </si>
  <si>
    <t>Quality Asurance</t>
  </si>
  <si>
    <t>David Gordon</t>
  </si>
  <si>
    <t>Operational</t>
  </si>
  <si>
    <t>Lillian Hart</t>
  </si>
  <si>
    <t>Sales</t>
  </si>
  <si>
    <t>Claire Peterson</t>
  </si>
  <si>
    <t>East</t>
  </si>
  <si>
    <t>Inventory</t>
  </si>
  <si>
    <t>Hannah Porter</t>
  </si>
  <si>
    <t>Services</t>
  </si>
  <si>
    <t>Victoria Gomez</t>
  </si>
  <si>
    <t>South</t>
  </si>
  <si>
    <t>Accounting</t>
  </si>
  <si>
    <t>Brooke Bailey</t>
  </si>
  <si>
    <t>Insurance</t>
  </si>
  <si>
    <t>Layla Green</t>
  </si>
  <si>
    <t>Alex Cox</t>
  </si>
  <si>
    <t>Business Development</t>
  </si>
  <si>
    <t>Genesis Mills</t>
  </si>
  <si>
    <t>Isaac Chavez</t>
  </si>
  <si>
    <t>Adam Howard</t>
  </si>
  <si>
    <t>Evelyn Burns</t>
  </si>
  <si>
    <t>Jack Black</t>
  </si>
  <si>
    <t>Wyatt Harris</t>
  </si>
  <si>
    <t>Marketing</t>
  </si>
  <si>
    <t>Maria Cook</t>
  </si>
  <si>
    <t>IT</t>
  </si>
  <si>
    <t>Gianna Freeman</t>
  </si>
  <si>
    <t>Market Development</t>
  </si>
  <si>
    <t>Thomas Rivera</t>
  </si>
  <si>
    <t>Licenses</t>
  </si>
  <si>
    <t>Peyton Powell</t>
  </si>
  <si>
    <t>Eli Marshall</t>
  </si>
  <si>
    <t>Management</t>
  </si>
  <si>
    <t>Joseph Jordan</t>
  </si>
  <si>
    <t>Savannah Stone</t>
  </si>
  <si>
    <t>Research &amp; Development</t>
  </si>
  <si>
    <t>Adam Cox</t>
  </si>
  <si>
    <t>Southwest</t>
  </si>
  <si>
    <t>Kaylee Hart</t>
  </si>
  <si>
    <t>Supply Chain</t>
  </si>
  <si>
    <t>Mackenzie Griffin</t>
  </si>
  <si>
    <t>Nathaniel Kennedy</t>
  </si>
  <si>
    <t>Riley James</t>
  </si>
  <si>
    <t>Jordan Morgan</t>
  </si>
  <si>
    <t>Finance</t>
  </si>
  <si>
    <t>Faith Green</t>
  </si>
  <si>
    <t>Jasmine Cox</t>
  </si>
  <si>
    <t>Gabriella West</t>
  </si>
  <si>
    <t>Purchasing</t>
  </si>
  <si>
    <t>Landon Garcia</t>
  </si>
  <si>
    <t>Chloe Sanchez</t>
  </si>
  <si>
    <t>Anna Greene</t>
  </si>
  <si>
    <t>Aaron Myers</t>
  </si>
  <si>
    <t>Kyle Palmer</t>
  </si>
  <si>
    <t>Brooklyn Coleman</t>
  </si>
  <si>
    <t>Samuel Gardner</t>
  </si>
  <si>
    <t>Katelyn Marshall</t>
  </si>
  <si>
    <t>Cole Lee</t>
  </si>
  <si>
    <t>searched department using manager name via XLOOKUP</t>
  </si>
  <si>
    <t>searched manager using department  via XLOOKUP</t>
  </si>
  <si>
    <t>hello</t>
  </si>
  <si>
    <t>sales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</si>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</sst>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41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73267-66F5-49D9-AF02-D767242CC1CD}" name="Table1" displayName="Table1" ref="B2:E46" totalsRowShown="0" headerRowDxfId="0" headerRowBorderDxfId="2">
  <autoFilter ref="B2:E46" xr:uid="{BBA73267-66F5-49D9-AF02-D767242CC1CD}"/>
  <tableColumns count="4">
    <tableColumn id="1" xr3:uid="{62FCB604-661B-4676-A092-EBDD9986767F}" name="Region"/>
    <tableColumn id="2" xr3:uid="{DE091A3E-8F71-49AC-8DFA-36433E92398E}" name="Department"/>
    <tableColumn id="3" xr3:uid="{3E2E8618-15AB-4D1F-AFC1-3763F2739CB2}" name="Manager"/>
    <tableColumn id="4" xr3:uid="{E97C8CEE-EEC1-46DF-83A5-7D2AC378F389}" name="Budg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6"/>
  <sheetViews>
    <sheetView tabSelected="1" workbookViewId="0">
      <selection activeCell="L18" sqref="L18"/>
    </sheetView>
  </sheetViews>
  <sheetFormatPr defaultRowHeight="14.4" x14ac:dyDescent="0.3"/>
  <cols>
    <col min="2" max="2" width="15.5546875" bestFit="1" customWidth="1"/>
    <col min="3" max="3" width="21.88671875" bestFit="1" customWidth="1"/>
    <col min="4" max="4" width="16.88671875" bestFit="1" customWidth="1"/>
    <col min="5" max="5" width="10" bestFit="1" customWidth="1"/>
    <col min="8" max="8" width="13.21875" customWidth="1"/>
    <col min="9" max="9" width="14.3320312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9" x14ac:dyDescent="0.3">
      <c r="B3" t="s">
        <v>4</v>
      </c>
      <c r="C3" t="s">
        <v>5</v>
      </c>
      <c r="D3" t="s">
        <v>6</v>
      </c>
      <c r="E3" s="2">
        <v>4406018</v>
      </c>
    </row>
    <row r="4" spans="2:9" x14ac:dyDescent="0.3">
      <c r="B4" t="s">
        <v>7</v>
      </c>
      <c r="C4" t="s">
        <v>5</v>
      </c>
      <c r="D4" t="s">
        <v>8</v>
      </c>
      <c r="E4" s="2">
        <v>2564165</v>
      </c>
    </row>
    <row r="5" spans="2:9" x14ac:dyDescent="0.3">
      <c r="B5" t="s">
        <v>9</v>
      </c>
      <c r="C5" t="s">
        <v>10</v>
      </c>
      <c r="D5" t="s">
        <v>11</v>
      </c>
      <c r="E5" s="2">
        <v>1443535</v>
      </c>
    </row>
    <row r="6" spans="2:9" x14ac:dyDescent="0.3">
      <c r="B6" t="s">
        <v>4</v>
      </c>
      <c r="C6" t="s">
        <v>12</v>
      </c>
      <c r="D6" t="s">
        <v>13</v>
      </c>
      <c r="E6" s="2">
        <v>2834014</v>
      </c>
      <c r="H6" t="s">
        <v>2</v>
      </c>
      <c r="I6" t="s">
        <v>76</v>
      </c>
    </row>
    <row r="7" spans="2:9" x14ac:dyDescent="0.3">
      <c r="B7" t="s">
        <v>14</v>
      </c>
      <c r="C7" t="s">
        <v>15</v>
      </c>
      <c r="D7" t="s">
        <v>16</v>
      </c>
      <c r="E7" s="2">
        <v>1119596</v>
      </c>
      <c r="H7" t="s">
        <v>1</v>
      </c>
      <c r="I7" t="str">
        <f>_xlfn.XLOOKUP(I6,Table1[Manager],Table1[Department])</f>
        <v>sales</v>
      </c>
    </row>
    <row r="8" spans="2:9" x14ac:dyDescent="0.3">
      <c r="B8" t="s">
        <v>4</v>
      </c>
      <c r="C8" t="s">
        <v>17</v>
      </c>
      <c r="D8" t="s">
        <v>18</v>
      </c>
      <c r="E8" s="2">
        <v>2949401</v>
      </c>
      <c r="H8" t="s">
        <v>3</v>
      </c>
      <c r="I8" s="2">
        <f>_xlfn.XLOOKUP(I6,Table1[Manager],Table1[Budget])</f>
        <v>2350467</v>
      </c>
    </row>
    <row r="9" spans="2:9" x14ac:dyDescent="0.3">
      <c r="B9" t="s">
        <v>4</v>
      </c>
      <c r="C9" t="s">
        <v>19</v>
      </c>
      <c r="D9" t="s">
        <v>20</v>
      </c>
      <c r="E9" s="2">
        <v>2371246</v>
      </c>
    </row>
    <row r="10" spans="2:9" x14ac:dyDescent="0.3">
      <c r="B10" t="s">
        <v>21</v>
      </c>
      <c r="C10" t="s">
        <v>22</v>
      </c>
      <c r="D10" t="s">
        <v>23</v>
      </c>
      <c r="E10" s="2">
        <v>3043499</v>
      </c>
      <c r="H10" t="s">
        <v>74</v>
      </c>
      <c r="I10" t="str">
        <f>_xlfn.XLOOKUP(I6,D3:D46,C3:C46,"haha not found")</f>
        <v>sales</v>
      </c>
    </row>
    <row r="11" spans="2:9" x14ac:dyDescent="0.3">
      <c r="B11" t="s">
        <v>4</v>
      </c>
      <c r="C11" t="s">
        <v>24</v>
      </c>
      <c r="D11" t="s">
        <v>25</v>
      </c>
      <c r="E11" s="2">
        <v>1621716</v>
      </c>
      <c r="H11" t="s">
        <v>75</v>
      </c>
      <c r="I11" t="str">
        <f>_xlfn.XLOOKUP(I7,C:C,D:D)</f>
        <v>Claire Peterson</v>
      </c>
    </row>
    <row r="12" spans="2:9" x14ac:dyDescent="0.3">
      <c r="B12" t="s">
        <v>26</v>
      </c>
      <c r="C12" t="s">
        <v>27</v>
      </c>
      <c r="D12" t="s">
        <v>28</v>
      </c>
      <c r="E12" s="2">
        <v>697697</v>
      </c>
    </row>
    <row r="13" spans="2:9" x14ac:dyDescent="0.3">
      <c r="B13" t="s">
        <v>4</v>
      </c>
      <c r="C13" t="s">
        <v>29</v>
      </c>
      <c r="D13" t="s">
        <v>30</v>
      </c>
      <c r="E13" s="2">
        <v>1458914</v>
      </c>
    </row>
    <row r="14" spans="2:9" x14ac:dyDescent="0.3">
      <c r="B14" t="s">
        <v>9</v>
      </c>
      <c r="C14" t="s">
        <v>19</v>
      </c>
      <c r="D14" t="s">
        <v>31</v>
      </c>
      <c r="E14" s="2">
        <v>2922128</v>
      </c>
    </row>
    <row r="15" spans="2:9" x14ac:dyDescent="0.3">
      <c r="B15" t="s">
        <v>9</v>
      </c>
      <c r="C15" t="s">
        <v>32</v>
      </c>
      <c r="D15" t="s">
        <v>33</v>
      </c>
      <c r="E15" s="2">
        <v>3699755</v>
      </c>
    </row>
    <row r="16" spans="2:9" x14ac:dyDescent="0.3">
      <c r="B16" t="s">
        <v>26</v>
      </c>
      <c r="C16" t="s">
        <v>32</v>
      </c>
      <c r="D16" t="s">
        <v>34</v>
      </c>
      <c r="E16" s="2">
        <v>930133</v>
      </c>
    </row>
    <row r="17" spans="2:5" x14ac:dyDescent="0.3">
      <c r="B17" t="s">
        <v>14</v>
      </c>
      <c r="C17" t="s">
        <v>24</v>
      </c>
      <c r="D17" t="s">
        <v>35</v>
      </c>
      <c r="E17" s="2">
        <v>2609312</v>
      </c>
    </row>
    <row r="18" spans="2:5" x14ac:dyDescent="0.3">
      <c r="B18" t="s">
        <v>26</v>
      </c>
      <c r="C18" t="s">
        <v>15</v>
      </c>
      <c r="D18" t="s">
        <v>36</v>
      </c>
      <c r="E18" s="2">
        <v>1660933</v>
      </c>
    </row>
    <row r="19" spans="2:5" x14ac:dyDescent="0.3">
      <c r="B19" t="s">
        <v>4</v>
      </c>
      <c r="C19" t="s">
        <v>32</v>
      </c>
      <c r="D19" t="s">
        <v>37</v>
      </c>
      <c r="E19" s="2">
        <v>644173</v>
      </c>
    </row>
    <row r="20" spans="2:5" x14ac:dyDescent="0.3">
      <c r="B20" t="s">
        <v>14</v>
      </c>
      <c r="C20" t="s">
        <v>12</v>
      </c>
      <c r="D20" t="s">
        <v>38</v>
      </c>
      <c r="E20" s="2">
        <v>4487298</v>
      </c>
    </row>
    <row r="21" spans="2:5" x14ac:dyDescent="0.3">
      <c r="B21" t="s">
        <v>4</v>
      </c>
      <c r="C21" t="s">
        <v>39</v>
      </c>
      <c r="D21" t="s">
        <v>40</v>
      </c>
      <c r="E21" s="2">
        <v>1391005</v>
      </c>
    </row>
    <row r="22" spans="2:5" x14ac:dyDescent="0.3">
      <c r="B22" t="s">
        <v>9</v>
      </c>
      <c r="C22" t="s">
        <v>41</v>
      </c>
      <c r="D22" t="s">
        <v>42</v>
      </c>
      <c r="E22" s="2">
        <v>3660829</v>
      </c>
    </row>
    <row r="23" spans="2:5" x14ac:dyDescent="0.3">
      <c r="B23" t="s">
        <v>21</v>
      </c>
      <c r="C23" t="s">
        <v>43</v>
      </c>
      <c r="D23" t="s">
        <v>44</v>
      </c>
      <c r="E23" s="2">
        <v>2478092</v>
      </c>
    </row>
    <row r="24" spans="2:5" x14ac:dyDescent="0.3">
      <c r="B24" t="s">
        <v>7</v>
      </c>
      <c r="C24" t="s">
        <v>45</v>
      </c>
      <c r="D24" t="s">
        <v>46</v>
      </c>
      <c r="E24" s="2">
        <v>4873822</v>
      </c>
    </row>
    <row r="25" spans="2:5" x14ac:dyDescent="0.3">
      <c r="B25" t="s">
        <v>26</v>
      </c>
      <c r="C25" t="s">
        <v>45</v>
      </c>
      <c r="D25" t="s">
        <v>47</v>
      </c>
      <c r="E25" s="2">
        <v>896582</v>
      </c>
    </row>
    <row r="26" spans="2:5" x14ac:dyDescent="0.3">
      <c r="B26" t="s">
        <v>7</v>
      </c>
      <c r="C26" t="s">
        <v>48</v>
      </c>
      <c r="D26" t="s">
        <v>49</v>
      </c>
      <c r="E26" s="2">
        <v>2069914</v>
      </c>
    </row>
    <row r="27" spans="2:5" x14ac:dyDescent="0.3">
      <c r="B27" t="s">
        <v>4</v>
      </c>
      <c r="C27" t="s">
        <v>48</v>
      </c>
      <c r="D27" t="s">
        <v>50</v>
      </c>
      <c r="E27" s="2">
        <v>3653753</v>
      </c>
    </row>
    <row r="28" spans="2:5" x14ac:dyDescent="0.3">
      <c r="B28" t="s">
        <v>21</v>
      </c>
      <c r="C28" t="s">
        <v>51</v>
      </c>
      <c r="D28" t="s">
        <v>52</v>
      </c>
      <c r="E28" s="2">
        <v>4201604</v>
      </c>
    </row>
    <row r="29" spans="2:5" x14ac:dyDescent="0.3">
      <c r="B29" t="s">
        <v>53</v>
      </c>
      <c r="C29" t="s">
        <v>39</v>
      </c>
      <c r="D29" t="s">
        <v>54</v>
      </c>
      <c r="E29" s="2">
        <v>1767245</v>
      </c>
    </row>
    <row r="30" spans="2:5" x14ac:dyDescent="0.3">
      <c r="B30" t="s">
        <v>53</v>
      </c>
      <c r="C30" t="s">
        <v>55</v>
      </c>
      <c r="D30" t="s">
        <v>56</v>
      </c>
      <c r="E30" s="2">
        <v>694393</v>
      </c>
    </row>
    <row r="31" spans="2:5" x14ac:dyDescent="0.3">
      <c r="B31" t="s">
        <v>21</v>
      </c>
      <c r="C31" t="s">
        <v>41</v>
      </c>
      <c r="D31" t="s">
        <v>57</v>
      </c>
      <c r="E31" s="2">
        <v>759059</v>
      </c>
    </row>
    <row r="32" spans="2:5" x14ac:dyDescent="0.3">
      <c r="B32" t="s">
        <v>14</v>
      </c>
      <c r="C32" t="s">
        <v>41</v>
      </c>
      <c r="D32" t="s">
        <v>58</v>
      </c>
      <c r="E32" s="2">
        <v>3122720</v>
      </c>
    </row>
    <row r="33" spans="2:5" x14ac:dyDescent="0.3">
      <c r="B33" t="s">
        <v>21</v>
      </c>
      <c r="C33" t="s">
        <v>5</v>
      </c>
      <c r="D33" t="s">
        <v>59</v>
      </c>
      <c r="E33" s="2">
        <v>3269238</v>
      </c>
    </row>
    <row r="34" spans="2:5" x14ac:dyDescent="0.3">
      <c r="B34" t="s">
        <v>26</v>
      </c>
      <c r="C34" t="s">
        <v>60</v>
      </c>
      <c r="D34" t="s">
        <v>61</v>
      </c>
      <c r="E34" s="2">
        <v>1189542</v>
      </c>
    </row>
    <row r="35" spans="2:5" x14ac:dyDescent="0.3">
      <c r="B35" t="s">
        <v>53</v>
      </c>
      <c r="C35" t="s">
        <v>24</v>
      </c>
      <c r="D35" t="s">
        <v>62</v>
      </c>
      <c r="E35" s="2">
        <v>2012197</v>
      </c>
    </row>
    <row r="36" spans="2:5" x14ac:dyDescent="0.3">
      <c r="B36" t="s">
        <v>53</v>
      </c>
      <c r="C36" t="s">
        <v>17</v>
      </c>
      <c r="D36" t="s">
        <v>63</v>
      </c>
      <c r="E36" s="2">
        <v>1971418</v>
      </c>
    </row>
    <row r="37" spans="2:5" x14ac:dyDescent="0.3">
      <c r="B37" t="s">
        <v>7</v>
      </c>
      <c r="C37" t="s">
        <v>64</v>
      </c>
      <c r="D37" t="s">
        <v>65</v>
      </c>
      <c r="E37" s="2">
        <v>2189297</v>
      </c>
    </row>
    <row r="38" spans="2:5" x14ac:dyDescent="0.3">
      <c r="B38" t="s">
        <v>14</v>
      </c>
      <c r="C38" t="s">
        <v>22</v>
      </c>
      <c r="D38" t="s">
        <v>66</v>
      </c>
      <c r="E38" s="2">
        <v>4822701</v>
      </c>
    </row>
    <row r="39" spans="2:5" x14ac:dyDescent="0.3">
      <c r="B39" t="s">
        <v>21</v>
      </c>
      <c r="C39" t="s">
        <v>19</v>
      </c>
      <c r="D39" t="s">
        <v>67</v>
      </c>
      <c r="E39" s="2">
        <v>2346810</v>
      </c>
    </row>
    <row r="40" spans="2:5" x14ac:dyDescent="0.3">
      <c r="B40" t="s">
        <v>7</v>
      </c>
      <c r="C40" t="s">
        <v>32</v>
      </c>
      <c r="D40" t="s">
        <v>68</v>
      </c>
      <c r="E40" s="2">
        <v>3443800</v>
      </c>
    </row>
    <row r="41" spans="2:5" x14ac:dyDescent="0.3">
      <c r="B41" t="s">
        <v>14</v>
      </c>
      <c r="C41" t="s">
        <v>39</v>
      </c>
      <c r="D41" t="s">
        <v>69</v>
      </c>
      <c r="E41" s="2">
        <v>1738454</v>
      </c>
    </row>
    <row r="42" spans="2:5" x14ac:dyDescent="0.3">
      <c r="B42" t="s">
        <v>26</v>
      </c>
      <c r="C42" t="s">
        <v>5</v>
      </c>
      <c r="D42" t="s">
        <v>70</v>
      </c>
      <c r="E42" s="2">
        <v>2592508</v>
      </c>
    </row>
    <row r="43" spans="2:5" x14ac:dyDescent="0.3">
      <c r="B43" t="s">
        <v>7</v>
      </c>
      <c r="C43" t="s">
        <v>17</v>
      </c>
      <c r="D43" t="s">
        <v>71</v>
      </c>
      <c r="E43" s="2">
        <v>2581251</v>
      </c>
    </row>
    <row r="44" spans="2:5" x14ac:dyDescent="0.3">
      <c r="B44" t="s">
        <v>9</v>
      </c>
      <c r="C44" t="s">
        <v>51</v>
      </c>
      <c r="D44" t="s">
        <v>72</v>
      </c>
      <c r="E44" s="2">
        <v>3825424</v>
      </c>
    </row>
    <row r="45" spans="2:5" x14ac:dyDescent="0.3">
      <c r="B45" t="s">
        <v>21</v>
      </c>
      <c r="C45" t="s">
        <v>12</v>
      </c>
      <c r="D45" t="s">
        <v>73</v>
      </c>
      <c r="E45" s="2">
        <v>2077279</v>
      </c>
    </row>
    <row r="46" spans="2:5" x14ac:dyDescent="0.3">
      <c r="B46" t="s">
        <v>78</v>
      </c>
      <c r="C46" t="s">
        <v>77</v>
      </c>
      <c r="D46" t="s">
        <v>76</v>
      </c>
      <c r="E46" s="2">
        <v>2350467</v>
      </c>
    </row>
  </sheetData>
  <dataValidations count="1">
    <dataValidation type="list" allowBlank="1" showInputMessage="1" showErrorMessage="1" sqref="I6" xr:uid="{5C05F741-A9CD-49D5-B1E2-1FA1317AAB6B}">
      <formula1>$D$3:$D$46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2026-03-31T02:21:22Z</dcterms:created>
  <dcterms:modified xsi:type="dcterms:W3CDTF">2026-03-31T03:04:25Z</dcterms:modified>
</cp:coreProperties>
</file>